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E:\VS Projects\"/>
    </mc:Choice>
  </mc:AlternateContent>
  <xr:revisionPtr revIDLastSave="0" documentId="13_ncr:1_{E738EE3A-B089-4732-A143-089A56448055}" xr6:coauthVersionLast="45" xr6:coauthVersionMax="45" xr10:uidLastSave="{00000000-0000-0000-0000-000000000000}"/>
  <bookViews>
    <workbookView xWindow="-120" yWindow="-120" windowWidth="20730" windowHeight="11160" tabRatio="621" xr2:uid="{00000000-000D-0000-FFFF-FFFF00000000}"/>
  </bookViews>
  <sheets>
    <sheet name="Options" sheetId="1" r:id="rId1"/>
    <sheet name="Help" sheetId="13" r:id="rId2"/>
    <sheet name="BNF" sheetId="12" r:id="rId3"/>
  </sheets>
  <definedNames>
    <definedName name="ExternalData_1" localSheetId="2" hidden="1">BNF!$N$1:$AD$103</definedName>
    <definedName name="ExternalData_2" localSheetId="2" hidden="1">BNF!$AG$1:$AI$3</definedName>
    <definedName name="ExternalData_3" localSheetId="2" hidden="1">BNF!$AG$8:$AI$9</definedName>
    <definedName name="MAX_PAIN">OFFSET(BNF!$AL$2,0,0,COUNTA(BNF!$AL:$AL),1)</definedName>
    <definedName name="STOCK_OPT_RANGE">#REF!</definedName>
    <definedName name="TIMESTAMP">OFFSET(BNF!$AK$2,0,0,COUNTA(BNF!$AK:$AK),1)</definedName>
  </definedNames>
  <calcPr calcId="181029"/>
  <extLst>
    <ext xmlns:x15="http://schemas.microsoft.com/office/spreadsheetml/2010/11/main" uri="{FCE2AD5D-F65C-4FA6-A056-5C36A1767C68}">
      <x15:dataModel>
        <x15:modelTables>
          <x15:modelTable id="BANKNIFTY_2f533b33-7bb3-41f5-ad69-4147906b1576" name="BANKNIFTY" connection="Query - BANKNIFTY"/>
          <x15:modelTable id="DateTime_686dcd37-87d0-45cc-9c08-1059cc0b3fc4" name="DateTime" connection="Query - DateTime"/>
          <x15:modelTable id="IDXNAME_4a15762e-2c27-4100-bfee-f5d4c860b219" name="IDXNAME" connection="Query - IDXNAME"/>
        </x15:modelTables>
      </x15:dataModel>
    </ext>
  </extLst>
</workbook>
</file>

<file path=xl/calcChain.xml><?xml version="1.0" encoding="utf-8"?>
<calcChain xmlns="http://schemas.openxmlformats.org/spreadsheetml/2006/main">
  <c r="L2" i="12" l="1"/>
  <c r="L3" i="12"/>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M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AI4" i="12"/>
  <c r="AI5" i="12" l="1"/>
  <c r="R2" i="1" l="1"/>
  <c r="R3" i="1"/>
  <c r="AI11" i="12"/>
  <c r="AI12" i="12" s="1"/>
  <c r="L17" i="1" s="1"/>
  <c r="B12" i="12" s="1"/>
  <c r="G12" i="12" l="1"/>
  <c r="T1" i="1"/>
  <c r="L25" i="1" l="1"/>
  <c r="B20" i="12" s="1"/>
  <c r="L21" i="1"/>
  <c r="B16" i="12" s="1"/>
  <c r="L7" i="1"/>
  <c r="B2" i="12" s="1"/>
  <c r="L11" i="1"/>
  <c r="B6" i="12" s="1"/>
  <c r="L15" i="1"/>
  <c r="B10" i="12" s="1"/>
  <c r="L26" i="1"/>
  <c r="B21" i="12" s="1"/>
  <c r="L18" i="1"/>
  <c r="B13" i="12" s="1"/>
  <c r="L24" i="1"/>
  <c r="B19" i="12" s="1"/>
  <c r="L20" i="1"/>
  <c r="B15" i="12" s="1"/>
  <c r="L8" i="1"/>
  <c r="B3" i="12" s="1"/>
  <c r="L12" i="1"/>
  <c r="B7" i="12" s="1"/>
  <c r="L16" i="1"/>
  <c r="B11" i="12" s="1"/>
  <c r="L22" i="1"/>
  <c r="B17" i="12" s="1"/>
  <c r="L10" i="1"/>
  <c r="B5" i="12" s="1"/>
  <c r="L14" i="1"/>
  <c r="B9" i="12" s="1"/>
  <c r="L27" i="1"/>
  <c r="B22" i="12" s="1"/>
  <c r="L23" i="1"/>
  <c r="B18" i="12" s="1"/>
  <c r="L19" i="1"/>
  <c r="B14" i="12" s="1"/>
  <c r="L9" i="1"/>
  <c r="B4" i="12" s="1"/>
  <c r="L13" i="1"/>
  <c r="B8" i="12" s="1"/>
  <c r="G16" i="12" l="1"/>
  <c r="G8" i="12"/>
  <c r="G22" i="12"/>
  <c r="G11" i="12"/>
  <c r="G19" i="12"/>
  <c r="G6" i="12"/>
  <c r="G4" i="12"/>
  <c r="G9" i="12"/>
  <c r="G7" i="12"/>
  <c r="G13" i="12"/>
  <c r="G2" i="12"/>
  <c r="G14" i="12"/>
  <c r="G5" i="12"/>
  <c r="G3" i="12"/>
  <c r="G21" i="12"/>
  <c r="G18" i="12"/>
  <c r="G17" i="12"/>
  <c r="G15" i="12"/>
  <c r="G10" i="12"/>
  <c r="G20" i="12"/>
  <c r="T6" i="1"/>
  <c r="S6" i="1"/>
  <c r="R6" i="1"/>
  <c r="Q6" i="1"/>
  <c r="P6" i="1"/>
  <c r="O6" i="1"/>
  <c r="N6" i="1"/>
  <c r="M6" i="1"/>
  <c r="B7" i="1" l="1"/>
  <c r="B17" i="1"/>
  <c r="A17" i="1"/>
  <c r="B12" i="1"/>
  <c r="B10" i="1"/>
  <c r="J17" i="1" l="1"/>
  <c r="I17" i="1"/>
  <c r="G17" i="1"/>
  <c r="K17" i="1"/>
  <c r="H17" i="1"/>
  <c r="A12" i="12" s="1"/>
  <c r="M12" i="1"/>
  <c r="Q12" i="1"/>
  <c r="N12" i="1"/>
  <c r="R12" i="1" s="1"/>
  <c r="O12" i="1"/>
  <c r="P12" i="1"/>
  <c r="C7" i="12" s="1"/>
  <c r="P17" i="1"/>
  <c r="C12" i="12" s="1"/>
  <c r="M17" i="1"/>
  <c r="Q17" i="1"/>
  <c r="N17" i="1"/>
  <c r="O17" i="1"/>
  <c r="O10" i="1"/>
  <c r="P10" i="1"/>
  <c r="C5" i="12" s="1"/>
  <c r="M10" i="1"/>
  <c r="Q10" i="1"/>
  <c r="N10" i="1"/>
  <c r="R10" i="1" s="1"/>
  <c r="Q7" i="1"/>
  <c r="M7" i="1"/>
  <c r="N7" i="1"/>
  <c r="R7" i="1" s="1"/>
  <c r="P7" i="1"/>
  <c r="C2" i="12" s="1"/>
  <c r="O7" i="1"/>
  <c r="S7" i="1" s="1"/>
  <c r="A7" i="1"/>
  <c r="B14" i="1"/>
  <c r="A12" i="1"/>
  <c r="B9" i="1"/>
  <c r="A9" i="1"/>
  <c r="B13" i="1"/>
  <c r="A13" i="1"/>
  <c r="B8" i="1"/>
  <c r="A8" i="1"/>
  <c r="B16" i="1"/>
  <c r="A16" i="1"/>
  <c r="B18" i="1"/>
  <c r="A18" i="1"/>
  <c r="B11" i="1"/>
  <c r="A11" i="1"/>
  <c r="B15" i="1"/>
  <c r="A15" i="1"/>
  <c r="A14" i="1"/>
  <c r="A10" i="1"/>
  <c r="I18" i="1" l="1"/>
  <c r="J18" i="1"/>
  <c r="G18" i="1"/>
  <c r="K18" i="1"/>
  <c r="H18" i="1"/>
  <c r="A13" i="12" s="1"/>
  <c r="J9" i="1"/>
  <c r="G9" i="1"/>
  <c r="K9" i="1"/>
  <c r="I9" i="1"/>
  <c r="E9" i="1" s="1"/>
  <c r="H9" i="1"/>
  <c r="A4" i="12" s="1"/>
  <c r="G7" i="1"/>
  <c r="H7" i="1"/>
  <c r="A2" i="12" s="1"/>
  <c r="I7" i="1"/>
  <c r="E7" i="1" s="1"/>
  <c r="K7" i="1"/>
  <c r="J7" i="1"/>
  <c r="H15" i="1"/>
  <c r="A10" i="12" s="1"/>
  <c r="G15" i="1"/>
  <c r="I15" i="1"/>
  <c r="E15" i="1" s="1"/>
  <c r="J15" i="1"/>
  <c r="K15" i="1"/>
  <c r="G8" i="1"/>
  <c r="K8" i="1"/>
  <c r="H8" i="1"/>
  <c r="A3" i="12" s="1"/>
  <c r="I8" i="1"/>
  <c r="J8" i="1"/>
  <c r="I10" i="1"/>
  <c r="E10" i="1" s="1"/>
  <c r="H10" i="1"/>
  <c r="A5" i="12" s="1"/>
  <c r="J10" i="1"/>
  <c r="G10" i="1"/>
  <c r="K10" i="1"/>
  <c r="H11" i="1"/>
  <c r="A6" i="12" s="1"/>
  <c r="I11" i="1"/>
  <c r="E11" i="1" s="1"/>
  <c r="G11" i="1"/>
  <c r="J11" i="1"/>
  <c r="K11" i="1"/>
  <c r="G16" i="1"/>
  <c r="K16" i="1"/>
  <c r="H16" i="1"/>
  <c r="A11" i="12" s="1"/>
  <c r="J16" i="1"/>
  <c r="I16" i="1"/>
  <c r="E16" i="1" s="1"/>
  <c r="J13" i="1"/>
  <c r="G13" i="1"/>
  <c r="K13" i="1"/>
  <c r="I13" i="1"/>
  <c r="E13" i="1" s="1"/>
  <c r="H13" i="1"/>
  <c r="A8" i="12" s="1"/>
  <c r="G12" i="1"/>
  <c r="K12" i="1"/>
  <c r="J12" i="1"/>
  <c r="F12" i="1" s="1"/>
  <c r="H12" i="1"/>
  <c r="A7" i="12" s="1"/>
  <c r="I12" i="1"/>
  <c r="E12" i="1" s="1"/>
  <c r="I14" i="1"/>
  <c r="E14" i="1" s="1"/>
  <c r="J14" i="1"/>
  <c r="G14" i="1"/>
  <c r="K14" i="1"/>
  <c r="H14" i="1"/>
  <c r="A9" i="12" s="1"/>
  <c r="P13" i="1"/>
  <c r="C8" i="12" s="1"/>
  <c r="M13" i="1"/>
  <c r="Q13" i="1"/>
  <c r="N13" i="1"/>
  <c r="R13" i="1" s="1"/>
  <c r="O13" i="1"/>
  <c r="N11" i="1"/>
  <c r="R11" i="1" s="1"/>
  <c r="O11" i="1"/>
  <c r="P11" i="1"/>
  <c r="C6" i="12" s="1"/>
  <c r="M11" i="1"/>
  <c r="Q11" i="1"/>
  <c r="O14" i="1"/>
  <c r="S14" i="1" s="1"/>
  <c r="N14" i="1"/>
  <c r="R14" i="1" s="1"/>
  <c r="P14" i="1"/>
  <c r="C9" i="12" s="1"/>
  <c r="M14" i="1"/>
  <c r="Q14" i="1"/>
  <c r="M16" i="1"/>
  <c r="Q16" i="1"/>
  <c r="N16" i="1"/>
  <c r="R16" i="1" s="1"/>
  <c r="O16" i="1"/>
  <c r="P16" i="1"/>
  <c r="C11" i="12" s="1"/>
  <c r="N15" i="1"/>
  <c r="R15" i="1" s="1"/>
  <c r="O15" i="1"/>
  <c r="M15" i="1"/>
  <c r="P15" i="1"/>
  <c r="C10" i="12" s="1"/>
  <c r="Q15" i="1"/>
  <c r="O18" i="1"/>
  <c r="N18" i="1"/>
  <c r="P18" i="1"/>
  <c r="C13" i="12" s="1"/>
  <c r="M18" i="1"/>
  <c r="Q18" i="1"/>
  <c r="M8" i="1"/>
  <c r="Q8" i="1"/>
  <c r="N8" i="1"/>
  <c r="O8" i="1"/>
  <c r="P8" i="1"/>
  <c r="C3" i="12" s="1"/>
  <c r="P9" i="1"/>
  <c r="C4" i="12" s="1"/>
  <c r="M9" i="1"/>
  <c r="Q9" i="1"/>
  <c r="N9" i="1"/>
  <c r="O9" i="1"/>
  <c r="S9" i="1" s="1"/>
  <c r="T7" i="1"/>
  <c r="T12" i="1"/>
  <c r="S12" i="1"/>
  <c r="T10" i="1"/>
  <c r="S10" i="1"/>
  <c r="A19" i="1"/>
  <c r="B19" i="1"/>
  <c r="H19" i="1" l="1"/>
  <c r="A14" i="12" s="1"/>
  <c r="G19" i="1"/>
  <c r="I19" i="1"/>
  <c r="E19" i="1" s="1"/>
  <c r="K19" i="1"/>
  <c r="J19" i="1"/>
  <c r="F19" i="1" s="1"/>
  <c r="N19" i="1"/>
  <c r="R19" i="1" s="1"/>
  <c r="Q19" i="1"/>
  <c r="O19" i="1"/>
  <c r="S19" i="1" s="1"/>
  <c r="P19" i="1"/>
  <c r="C14" i="12" s="1"/>
  <c r="M19" i="1"/>
  <c r="D5" i="12"/>
  <c r="D12" i="12"/>
  <c r="D4" i="12"/>
  <c r="D13" i="12"/>
  <c r="D3" i="12"/>
  <c r="D11" i="12"/>
  <c r="D9" i="12"/>
  <c r="D6" i="12"/>
  <c r="D7" i="12"/>
  <c r="D2" i="12"/>
  <c r="D8" i="12"/>
  <c r="D10" i="12"/>
  <c r="D7" i="1"/>
  <c r="T14" i="1"/>
  <c r="F7" i="1"/>
  <c r="D8" i="1"/>
  <c r="D12" i="1"/>
  <c r="D17" i="1"/>
  <c r="B20" i="1"/>
  <c r="A20" i="1"/>
  <c r="T11" i="1"/>
  <c r="S11" i="1"/>
  <c r="F13" i="1"/>
  <c r="D13" i="1"/>
  <c r="T16" i="1"/>
  <c r="S16" i="1"/>
  <c r="F15" i="1"/>
  <c r="D15" i="1"/>
  <c r="D10" i="1"/>
  <c r="F10" i="1"/>
  <c r="R9" i="1"/>
  <c r="T9" i="1"/>
  <c r="T13" i="1"/>
  <c r="S13" i="1"/>
  <c r="D16" i="1"/>
  <c r="F16" i="1"/>
  <c r="T15" i="1"/>
  <c r="S15" i="1"/>
  <c r="D14" i="1"/>
  <c r="F14" i="1"/>
  <c r="F9" i="1"/>
  <c r="D9" i="1"/>
  <c r="F11" i="1"/>
  <c r="D11" i="1"/>
  <c r="E17" i="1"/>
  <c r="S18" i="1"/>
  <c r="S17" i="1"/>
  <c r="S8" i="1"/>
  <c r="E18" i="1"/>
  <c r="E8" i="1"/>
  <c r="F17" i="1"/>
  <c r="R18" i="1"/>
  <c r="T18" i="1"/>
  <c r="T17" i="1"/>
  <c r="R17" i="1"/>
  <c r="R8" i="1"/>
  <c r="T8" i="1"/>
  <c r="D18" i="1"/>
  <c r="F18" i="1"/>
  <c r="F8" i="1"/>
  <c r="G20" i="1" l="1"/>
  <c r="K20" i="1"/>
  <c r="H20" i="1"/>
  <c r="I20" i="1"/>
  <c r="J20" i="1"/>
  <c r="M20" i="1"/>
  <c r="Q20" i="1"/>
  <c r="N20" i="1"/>
  <c r="P20" i="1"/>
  <c r="C15" i="12" s="1"/>
  <c r="O20" i="1"/>
  <c r="E7" i="12"/>
  <c r="F7" i="12" s="1"/>
  <c r="E14" i="12"/>
  <c r="E12" i="12"/>
  <c r="F12" i="12" s="1"/>
  <c r="E5" i="12"/>
  <c r="F5" i="12" s="1"/>
  <c r="D14" i="12"/>
  <c r="E8" i="12"/>
  <c r="F8" i="12" s="1"/>
  <c r="E13" i="12"/>
  <c r="F13" i="12" s="1"/>
  <c r="E6" i="12"/>
  <c r="F6" i="12" s="1"/>
  <c r="E4" i="12"/>
  <c r="F4" i="12" s="1"/>
  <c r="E3" i="12"/>
  <c r="F3" i="12" s="1"/>
  <c r="E9" i="12"/>
  <c r="F9" i="12" s="1"/>
  <c r="E11" i="12"/>
  <c r="F11" i="12" s="1"/>
  <c r="E10" i="12"/>
  <c r="F10" i="12" s="1"/>
  <c r="D19" i="1"/>
  <c r="T19" i="1"/>
  <c r="B21" i="1"/>
  <c r="A21" i="1"/>
  <c r="J21" i="1" l="1"/>
  <c r="I21" i="1"/>
  <c r="G21" i="1"/>
  <c r="K21" i="1"/>
  <c r="H21" i="1"/>
  <c r="P21" i="1"/>
  <c r="C16" i="12" s="1"/>
  <c r="M21" i="1"/>
  <c r="Q21" i="1"/>
  <c r="N21" i="1"/>
  <c r="O21" i="1"/>
  <c r="A15" i="12"/>
  <c r="D15" i="12" s="1"/>
  <c r="F14" i="12"/>
  <c r="E15" i="12"/>
  <c r="A22" i="1"/>
  <c r="B22" i="1"/>
  <c r="T20" i="1"/>
  <c r="R20" i="1"/>
  <c r="E20" i="1"/>
  <c r="S20" i="1"/>
  <c r="F20" i="1"/>
  <c r="D20" i="1"/>
  <c r="I22" i="1" l="1"/>
  <c r="J22" i="1"/>
  <c r="H22" i="1"/>
  <c r="G22" i="1"/>
  <c r="K22" i="1"/>
  <c r="O22" i="1"/>
  <c r="N22" i="1"/>
  <c r="P22" i="1"/>
  <c r="M22" i="1"/>
  <c r="Q22" i="1"/>
  <c r="F15" i="12"/>
  <c r="A16" i="12"/>
  <c r="D16" i="12" s="1"/>
  <c r="E16" i="12"/>
  <c r="R21" i="1"/>
  <c r="T21" i="1"/>
  <c r="E21" i="1"/>
  <c r="F21" i="1"/>
  <c r="D21" i="1"/>
  <c r="A23" i="1"/>
  <c r="B23" i="1"/>
  <c r="S21" i="1"/>
  <c r="H23" i="1" l="1"/>
  <c r="K23" i="1"/>
  <c r="I23" i="1"/>
  <c r="J23" i="1"/>
  <c r="G23" i="1"/>
  <c r="N23" i="1"/>
  <c r="Q23" i="1"/>
  <c r="O23" i="1"/>
  <c r="P23" i="1"/>
  <c r="M23" i="1"/>
  <c r="C17" i="12"/>
  <c r="E17" i="12" s="1"/>
  <c r="F16" i="12"/>
  <c r="A17" i="12"/>
  <c r="D17" i="12" s="1"/>
  <c r="B24" i="1"/>
  <c r="A24" i="1"/>
  <c r="T22" i="1"/>
  <c r="R22" i="1"/>
  <c r="E22" i="1"/>
  <c r="F22" i="1"/>
  <c r="D22" i="1"/>
  <c r="S22" i="1"/>
  <c r="G24" i="1" l="1"/>
  <c r="K24" i="1"/>
  <c r="H24" i="1"/>
  <c r="A19" i="12" s="1"/>
  <c r="J24" i="1"/>
  <c r="I24" i="1"/>
  <c r="M24" i="1"/>
  <c r="Q24" i="1"/>
  <c r="N24" i="1"/>
  <c r="P24" i="1"/>
  <c r="O24" i="1"/>
  <c r="F17" i="12"/>
  <c r="C18" i="12"/>
  <c r="E18" i="12" s="1"/>
  <c r="A18" i="12"/>
  <c r="D18" i="12" s="1"/>
  <c r="F23" i="1"/>
  <c r="D23" i="1"/>
  <c r="S23" i="1"/>
  <c r="T23" i="1"/>
  <c r="R23" i="1"/>
  <c r="B25" i="1"/>
  <c r="A25" i="1"/>
  <c r="E23" i="1"/>
  <c r="J25" i="1" l="1"/>
  <c r="G25" i="1"/>
  <c r="K25" i="1"/>
  <c r="H25" i="1"/>
  <c r="I25" i="1"/>
  <c r="P25" i="1"/>
  <c r="M25" i="1"/>
  <c r="Q25" i="1"/>
  <c r="N25" i="1"/>
  <c r="O25" i="1"/>
  <c r="F18" i="12"/>
  <c r="D19" i="12"/>
  <c r="C19" i="12"/>
  <c r="E19" i="12" s="1"/>
  <c r="A26" i="1"/>
  <c r="B26" i="1"/>
  <c r="T24" i="1"/>
  <c r="R24" i="1"/>
  <c r="E24" i="1"/>
  <c r="S24" i="1"/>
  <c r="F24" i="1"/>
  <c r="D24" i="1"/>
  <c r="I26" i="1" l="1"/>
  <c r="H26" i="1"/>
  <c r="J26" i="1"/>
  <c r="G26" i="1"/>
  <c r="K26" i="1"/>
  <c r="O26" i="1"/>
  <c r="N26" i="1"/>
  <c r="P26" i="1"/>
  <c r="M26" i="1"/>
  <c r="Q26" i="1"/>
  <c r="F19" i="12"/>
  <c r="A20" i="12"/>
  <c r="D20" i="12" s="1"/>
  <c r="C20" i="12"/>
  <c r="E20" i="12" s="1"/>
  <c r="S25" i="1"/>
  <c r="R25" i="1"/>
  <c r="T25" i="1"/>
  <c r="E25" i="1"/>
  <c r="F25" i="1"/>
  <c r="D25" i="1"/>
  <c r="B27" i="1"/>
  <c r="A27" i="1"/>
  <c r="H27" i="1" l="1"/>
  <c r="I27" i="1"/>
  <c r="G27" i="1"/>
  <c r="J27" i="1"/>
  <c r="K27" i="1"/>
  <c r="N27" i="1"/>
  <c r="O27" i="1"/>
  <c r="S27" i="1" s="1"/>
  <c r="M27" i="1"/>
  <c r="P27" i="1"/>
  <c r="C22" i="12" s="1"/>
  <c r="Q27" i="1"/>
  <c r="F20" i="12"/>
  <c r="C21" i="12"/>
  <c r="E21" i="12" s="1"/>
  <c r="A21" i="12"/>
  <c r="D21" i="12" s="1"/>
  <c r="D26" i="1"/>
  <c r="F26" i="1"/>
  <c r="R26" i="1"/>
  <c r="T26" i="1"/>
  <c r="E26" i="1"/>
  <c r="S26" i="1"/>
  <c r="F21" i="12" l="1"/>
  <c r="A22" i="12"/>
  <c r="D22" i="12" s="1"/>
  <c r="E22" i="12"/>
  <c r="E2" i="12"/>
  <c r="F2" i="12" s="1"/>
  <c r="G24" i="12" s="1"/>
  <c r="E27" i="1"/>
  <c r="R27" i="1"/>
  <c r="T27" i="1"/>
  <c r="D27" i="1"/>
  <c r="F27" i="1"/>
  <c r="F22" i="12" l="1"/>
  <c r="T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6080AC-424C-4A65-B8C3-1D9883234CB1}" keepAlive="1" name="ModelConnection_ExternalData_11" description="Data Model" type="5" refreshedVersion="6" minRefreshableVersion="5" saveData="1">
    <dbPr connection="Data Model Connection" command="BANKNIFTY" commandType="3"/>
    <extLst>
      <ext xmlns:x15="http://schemas.microsoft.com/office/spreadsheetml/2010/11/main" uri="{DE250136-89BD-433C-8126-D09CA5730AF9}">
        <x15:connection id="" model="1"/>
      </ext>
    </extLst>
  </connection>
  <connection id="2" xr16:uid="{CBD7F7BF-6789-44B3-A525-750AC2C024BE}" keepAlive="1" name="ModelConnection_ExternalData_2" description="Data Model" type="5" refreshedVersion="6" minRefreshableVersion="5" saveData="1">
    <dbPr connection="Data Model Connection" command="DateTime" commandType="3"/>
    <extLst>
      <ext xmlns:x15="http://schemas.microsoft.com/office/spreadsheetml/2010/11/main" uri="{DE250136-89BD-433C-8126-D09CA5730AF9}">
        <x15:connection id="" model="1"/>
      </ext>
    </extLst>
  </connection>
  <connection id="3" xr16:uid="{615FBCFD-C306-4D6A-9A60-37060333CC24}" keepAlive="1" name="ModelConnection_ExternalData_3" description="Data Model" type="5" refreshedVersion="6" minRefreshableVersion="5" saveData="1">
    <dbPr connection="Data Model Connection" command="IDXNAME" commandType="3"/>
    <extLst>
      <ext xmlns:x15="http://schemas.microsoft.com/office/spreadsheetml/2010/11/main" uri="{DE250136-89BD-433C-8126-D09CA5730AF9}">
        <x15:connection id="" model="1"/>
      </ext>
    </extLst>
  </connection>
  <connection id="4" xr16:uid="{07F37B57-420D-4459-8037-A6409A9167B2}" interval="10" name="Query - BANKNIFTY" description="Connection to the 'BANKNIFTY' query in the workbook." type="100" refreshedVersion="6" minRefreshableVersion="5" saveData="1">
    <extLst>
      <ext xmlns:x15="http://schemas.microsoft.com/office/spreadsheetml/2010/11/main" uri="{DE250136-89BD-433C-8126-D09CA5730AF9}">
        <x15:connection id="abf511a9-bdf1-4981-a297-09c754339f3c"/>
      </ext>
    </extLst>
  </connection>
  <connection id="5" xr16:uid="{48895215-8B65-4C73-8F15-C82E1401B608}" interval="10" name="Query - DateTime" description="Connection to the 'DateTime' query in the workbook." type="100" refreshedVersion="6" minRefreshableVersion="5" saveData="1">
    <extLst>
      <ext xmlns:x15="http://schemas.microsoft.com/office/spreadsheetml/2010/11/main" uri="{DE250136-89BD-433C-8126-D09CA5730AF9}">
        <x15:connection id="158ddadf-1600-4f41-884a-f27d2b056938"/>
      </ext>
    </extLst>
  </connection>
  <connection id="6" xr16:uid="{6B9B299E-8B71-4F40-BFA9-21F9360BA50F}" interval="10" name="Query - IDXNAME" description="Connection to the 'IDXNAME' query in the workbook." type="100" refreshedVersion="6" minRefreshableVersion="5" saveData="1">
    <extLst>
      <ext xmlns:x15="http://schemas.microsoft.com/office/spreadsheetml/2010/11/main" uri="{DE250136-89BD-433C-8126-D09CA5730AF9}">
        <x15:connection id="2760117f-b94e-407b-9237-9d8b163927b5"/>
      </ext>
    </extLst>
  </connection>
  <connection id="7" xr16:uid="{FABE0E65-F3D8-4044-9EA8-D435C30A12C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<sst xmlns="http://schemas.openxmlformats.org/spreadsheetml/2006/main" count="1599" uniqueCount="841">
  <si>
    <t>CALLS</t>
  </si>
  <si>
    <t>PUTS</t>
  </si>
  <si>
    <t>Volume</t>
  </si>
  <si>
    <t>LTP</t>
  </si>
  <si>
    <t>Strike Price</t>
  </si>
  <si>
    <t>-</t>
  </si>
  <si>
    <t>OI change</t>
  </si>
  <si>
    <t>Interpretation</t>
  </si>
  <si>
    <t>Net OI</t>
  </si>
  <si>
    <t>Net change</t>
  </si>
  <si>
    <t>CALLS OI</t>
  </si>
  <si>
    <t>CALLS Chng in OI</t>
  </si>
  <si>
    <t>CALLS Volume</t>
  </si>
  <si>
    <t>CALLS IV</t>
  </si>
  <si>
    <t>CALLS LTP</t>
  </si>
  <si>
    <t>CALLS Net Chng</t>
  </si>
  <si>
    <t>CALLS Bid Price</t>
  </si>
  <si>
    <t>CALLS Ask Price</t>
  </si>
  <si>
    <t>PUTS Bid Price</t>
  </si>
  <si>
    <t>PUTS Ask Price</t>
  </si>
  <si>
    <t>PUTS Net Chng</t>
  </si>
  <si>
    <t>PUTS LTP</t>
  </si>
  <si>
    <t>PUTS IV</t>
  </si>
  <si>
    <t>PUTS Volume</t>
  </si>
  <si>
    <t>PUTS Chng in OI</t>
  </si>
  <si>
    <t>PUTS OI</t>
  </si>
  <si>
    <t>Column1</t>
  </si>
  <si>
    <t>Column2</t>
  </si>
  <si>
    <t>MP BNF</t>
  </si>
  <si>
    <t>Calls OI</t>
  </si>
  <si>
    <t>Puts OI</t>
  </si>
  <si>
    <t>Calls Amount</t>
  </si>
  <si>
    <t>Puts Amount</t>
  </si>
  <si>
    <t>Total of Calls+Puts</t>
  </si>
  <si>
    <t>Max Pain:</t>
  </si>
  <si>
    <t>Kind</t>
  </si>
  <si>
    <t>Name</t>
  </si>
  <si>
    <t>Text</t>
  </si>
  <si>
    <t>Element</t>
  </si>
  <si>
    <t>A</t>
  </si>
  <si>
    <t>Date:</t>
  </si>
  <si>
    <t>Time:</t>
  </si>
  <si>
    <t>Current BNF</t>
  </si>
  <si>
    <t>Rounded Off</t>
  </si>
  <si>
    <t>BANK-NIFTY SPOT PRICE</t>
  </si>
  <si>
    <t>Date</t>
  </si>
  <si>
    <t>Time</t>
  </si>
  <si>
    <t>Column3</t>
  </si>
  <si>
    <t>TIMESTAMP</t>
  </si>
  <si>
    <t>OI Change</t>
  </si>
  <si>
    <t>Price change</t>
  </si>
  <si>
    <t>MAX_PAIN</t>
  </si>
  <si>
    <t>PCR :</t>
  </si>
  <si>
    <t>Open Intest &amp; Volume Data</t>
  </si>
  <si>
    <t>Max Pain &amp; ITM Call/Put Change</t>
  </si>
  <si>
    <t>Bank Nifty Option Chain</t>
  </si>
  <si>
    <t>1. This Excel worksheet requires internet connection to fetch data from NSE India website.</t>
  </si>
  <si>
    <t>2. The Refresh data setting is set to 10 min. If you want frequent refresh, then you can change it to less. However don’t go less than 5 min as there is a chance that your IP might get blacklisted.</t>
  </si>
  <si>
    <t>General</t>
  </si>
  <si>
    <t>Usage</t>
  </si>
  <si>
    <t xml:space="preserve">1. There are 3 buttons. </t>
  </si>
  <si>
    <t>2. Press the  'OI &amp; Volume data' button to view the graphs related to Open Interest, Volumen and Change in OI</t>
  </si>
  <si>
    <t>3. Press the 'Max Pain Change' button to view the change of Max Pain over a period of time.</t>
  </si>
  <si>
    <t>4. Press the 'Clear Old Data' button to clear the data of Max Pain. Ideally, this button. Ideally this should be done every day or 2-3 days once. Beyond 200 values, it wont show.</t>
  </si>
  <si>
    <t>Possible Errors</t>
  </si>
  <si>
    <t>2. If the above happens, save the sheet and Exit. After some time only the sheet will close.</t>
  </si>
  <si>
    <t>1. The data refresh may suffer due to some un-expected issue in Excel &amp; Dotnet Framework. If this is the case, then an appropriate message will be displayed in Excel. Some times, this error accumlates over a period of time and freezes Excel.</t>
  </si>
  <si>
    <t>3. You could also try as shown in the picture below. Bring the Task Manager and choose Excel. Expand the item. Chose the 'Excel Mashup Evaluation…..' and End Task. Do this for all instances of this.</t>
  </si>
  <si>
    <t>1. The sheet is set to save as soon as data changes (10min ), but sometimes if it closes unexpectedly, you will loose some data.</t>
  </si>
  <si>
    <t>1</t>
  </si>
  <si>
    <t>50</t>
  </si>
  <si>
    <t>2</t>
  </si>
  <si>
    <t>3</t>
  </si>
  <si>
    <t>100</t>
  </si>
  <si>
    <t/>
  </si>
  <si>
    <t>25</t>
  </si>
  <si>
    <t>75</t>
  </si>
  <si>
    <t>225</t>
  </si>
  <si>
    <t>0.70</t>
  </si>
  <si>
    <t>0.85</t>
  </si>
  <si>
    <t>0.20</t>
  </si>
  <si>
    <t>0.60</t>
  </si>
  <si>
    <t>0.80</t>
  </si>
  <si>
    <t>0.55</t>
  </si>
  <si>
    <t>0.65</t>
  </si>
  <si>
    <t>0.40</t>
  </si>
  <si>
    <t>0.50</t>
  </si>
  <si>
    <t>0.30</t>
  </si>
  <si>
    <t>0.45</t>
  </si>
  <si>
    <t>125</t>
  </si>
  <si>
    <t>-1.45</t>
  </si>
  <si>
    <t>0.10</t>
  </si>
  <si>
    <t>0.15</t>
  </si>
  <si>
    <t>0.25</t>
  </si>
  <si>
    <t>0.35</t>
  </si>
  <si>
    <t>0.75</t>
  </si>
  <si>
    <t>-1.90</t>
  </si>
  <si>
    <t>-100</t>
  </si>
  <si>
    <t>-1.95</t>
  </si>
  <si>
    <t>-0.65</t>
  </si>
  <si>
    <t>-0.35</t>
  </si>
  <si>
    <t>-25</t>
  </si>
  <si>
    <t>13</t>
  </si>
  <si>
    <t>2,000</t>
  </si>
  <si>
    <t>-1.35</t>
  </si>
  <si>
    <t>-700</t>
  </si>
  <si>
    <t>-0.95</t>
  </si>
  <si>
    <t>1,000</t>
  </si>
  <si>
    <t>500</t>
  </si>
  <si>
    <t>-1.20</t>
  </si>
  <si>
    <t>625</t>
  </si>
  <si>
    <t>-1.40</t>
  </si>
  <si>
    <t>0.90</t>
  </si>
  <si>
    <t>1.00</t>
  </si>
  <si>
    <t>0.95</t>
  </si>
  <si>
    <t>-1.80</t>
  </si>
  <si>
    <t>-1.50</t>
  </si>
  <si>
    <t>-0.85</t>
  </si>
  <si>
    <t>300</t>
  </si>
  <si>
    <t>975</t>
  </si>
  <si>
    <t>-1.10</t>
  </si>
  <si>
    <t>3.05</t>
  </si>
  <si>
    <t>-1.05</t>
  </si>
  <si>
    <t>-2.15</t>
  </si>
  <si>
    <t>525</t>
  </si>
  <si>
    <t>1.45</t>
  </si>
  <si>
    <t>1.95</t>
  </si>
  <si>
    <t>67</t>
  </si>
  <si>
    <t>2,650</t>
  </si>
  <si>
    <t>-200</t>
  </si>
  <si>
    <t>1,725</t>
  </si>
  <si>
    <t>475</t>
  </si>
  <si>
    <t>-175</t>
  </si>
  <si>
    <t>381</t>
  </si>
  <si>
    <t>2.45</t>
  </si>
  <si>
    <t>-3.40</t>
  </si>
  <si>
    <t>-2.25</t>
  </si>
  <si>
    <t>3,825</t>
  </si>
  <si>
    <t>76</t>
  </si>
  <si>
    <t>1,218.15</t>
  </si>
  <si>
    <t>213</t>
  </si>
  <si>
    <t>150</t>
  </si>
  <si>
    <t>6,493.15</t>
  </si>
  <si>
    <t>80.90</t>
  </si>
  <si>
    <t>6,650.60</t>
  </si>
  <si>
    <t>6,529.45</t>
  </si>
  <si>
    <t>-0.50</t>
  </si>
  <si>
    <t>734</t>
  </si>
  <si>
    <t>14,750</t>
  </si>
  <si>
    <t>1.30</t>
  </si>
  <si>
    <t>5,914.55</t>
  </si>
  <si>
    <t>-0.45</t>
  </si>
  <si>
    <t>329</t>
  </si>
  <si>
    <t>-1,225</t>
  </si>
  <si>
    <t>4,760.55</t>
  </si>
  <si>
    <t>1,222.15</t>
  </si>
  <si>
    <t>1.25</t>
  </si>
  <si>
    <t>-420.50</t>
  </si>
  <si>
    <t>1.20</t>
  </si>
  <si>
    <t>52</t>
  </si>
  <si>
    <t>1,300</t>
  </si>
  <si>
    <t>2,400</t>
  </si>
  <si>
    <t>-0.25</t>
  </si>
  <si>
    <t>2,175</t>
  </si>
  <si>
    <t>325</t>
  </si>
  <si>
    <t>3,300</t>
  </si>
  <si>
    <t>145</t>
  </si>
  <si>
    <t>-2,675</t>
  </si>
  <si>
    <t>4,475</t>
  </si>
  <si>
    <t>5,875</t>
  </si>
  <si>
    <t>3,350.00</t>
  </si>
  <si>
    <t>443.15</t>
  </si>
  <si>
    <t>4,250</t>
  </si>
  <si>
    <t>8,975</t>
  </si>
  <si>
    <t>2,790.00</t>
  </si>
  <si>
    <t>570.00</t>
  </si>
  <si>
    <t>-2.10</t>
  </si>
  <si>
    <t>4,175</t>
  </si>
  <si>
    <t>800</t>
  </si>
  <si>
    <t>2,825.00</t>
  </si>
  <si>
    <t>50.00</t>
  </si>
  <si>
    <t>2,647.25</t>
  </si>
  <si>
    <t>-2.35</t>
  </si>
  <si>
    <t>-2.45</t>
  </si>
  <si>
    <t>-2.95</t>
  </si>
  <si>
    <t>4,625</t>
  </si>
  <si>
    <t>-575</t>
  </si>
  <si>
    <t>104</t>
  </si>
  <si>
    <t>2,390.25</t>
  </si>
  <si>
    <t>-9.40</t>
  </si>
  <si>
    <t>825</t>
  </si>
  <si>
    <t>8</t>
  </si>
  <si>
    <t>2,327.45</t>
  </si>
  <si>
    <t>327.45</t>
  </si>
  <si>
    <t>1,250</t>
  </si>
  <si>
    <t>2,077.80</t>
  </si>
  <si>
    <t>-171.15</t>
  </si>
  <si>
    <t>-3.70</t>
  </si>
  <si>
    <t>-125</t>
  </si>
  <si>
    <t>1,890.10</t>
  </si>
  <si>
    <t>69.65</t>
  </si>
  <si>
    <t>-5.05</t>
  </si>
  <si>
    <t>3,225</t>
  </si>
  <si>
    <t>18</t>
  </si>
  <si>
    <t>1,675.90</t>
  </si>
  <si>
    <t>-39.65</t>
  </si>
  <si>
    <t>-5.45</t>
  </si>
  <si>
    <t>1.05</t>
  </si>
  <si>
    <t>2,675</t>
  </si>
  <si>
    <t>19</t>
  </si>
  <si>
    <t>1,626.85</t>
  </si>
  <si>
    <t>73.20</t>
  </si>
  <si>
    <t>1.10</t>
  </si>
  <si>
    <t>1.15</t>
  </si>
  <si>
    <t>6,575</t>
  </si>
  <si>
    <t>-450</t>
  </si>
  <si>
    <t>10,400</t>
  </si>
  <si>
    <t>-1,600</t>
  </si>
  <si>
    <t>216</t>
  </si>
  <si>
    <t>1,228.10</t>
  </si>
  <si>
    <t>-20.45</t>
  </si>
  <si>
    <t>1.80</t>
  </si>
  <si>
    <t>1.75</t>
  </si>
  <si>
    <t>3.35</t>
  </si>
  <si>
    <t>122,125</t>
  </si>
  <si>
    <t>1.90</t>
  </si>
  <si>
    <t>1.60</t>
  </si>
  <si>
    <t>1.55</t>
  </si>
  <si>
    <t>1.35</t>
  </si>
  <si>
    <t>700</t>
  </si>
  <si>
    <t>575</t>
  </si>
  <si>
    <t>-88.85</t>
  </si>
  <si>
    <t>1,500.00</t>
  </si>
  <si>
    <t>-4.05</t>
  </si>
  <si>
    <t>-3.25</t>
  </si>
  <si>
    <t>-3.35</t>
  </si>
  <si>
    <t>1,225</t>
  </si>
  <si>
    <t>10,200</t>
  </si>
  <si>
    <t>-2,900</t>
  </si>
  <si>
    <t>9,150</t>
  </si>
  <si>
    <t>1,375</t>
  </si>
  <si>
    <t>725</t>
  </si>
  <si>
    <t>2,863.35</t>
  </si>
  <si>
    <t>2,962.55</t>
  </si>
  <si>
    <t>3,061.60</t>
  </si>
  <si>
    <t>-1.75</t>
  </si>
  <si>
    <t>650</t>
  </si>
  <si>
    <t>-681.25</t>
  </si>
  <si>
    <t>-1.30</t>
  </si>
  <si>
    <t>-31.50</t>
  </si>
  <si>
    <t>3,256.65</t>
  </si>
  <si>
    <t>60</t>
  </si>
  <si>
    <t>-258.95</t>
  </si>
  <si>
    <t>3,366.80</t>
  </si>
  <si>
    <t>BANKNIFTY 23871.30</t>
  </si>
  <si>
    <t>As on Oct 15, 2020 10:45:52 IST</t>
  </si>
  <si>
    <t>6,360.15</t>
  </si>
  <si>
    <t>6,461.15</t>
  </si>
  <si>
    <t>1,530</t>
  </si>
  <si>
    <t>56,825</t>
  </si>
  <si>
    <t>5,704.05</t>
  </si>
  <si>
    <t>5,756.95</t>
  </si>
  <si>
    <t>5,564.75</t>
  </si>
  <si>
    <t>6,921.95</t>
  </si>
  <si>
    <t>5,571.00</t>
  </si>
  <si>
    <t>6,810.25</t>
  </si>
  <si>
    <t>5,860.40</t>
  </si>
  <si>
    <t>5,924.80</t>
  </si>
  <si>
    <t>5,234.40</t>
  </si>
  <si>
    <t>6,175.45</t>
  </si>
  <si>
    <t>5,185.90</t>
  </si>
  <si>
    <t>6,429.50</t>
  </si>
  <si>
    <t>5,091.80</t>
  </si>
  <si>
    <t>5,123.90</t>
  </si>
  <si>
    <t>6,182.05</t>
  </si>
  <si>
    <t>5,359.70</t>
  </si>
  <si>
    <t>5,423.90</t>
  </si>
  <si>
    <t>363</t>
  </si>
  <si>
    <t>-1,750</t>
  </si>
  <si>
    <t>11,950</t>
  </si>
  <si>
    <t>4,820.20</t>
  </si>
  <si>
    <t>5,984.30</t>
  </si>
  <si>
    <t>4,901.80</t>
  </si>
  <si>
    <t>5,905.05</t>
  </si>
  <si>
    <t>4,610.25</t>
  </si>
  <si>
    <t>5,514.05</t>
  </si>
  <si>
    <t>4,656.15</t>
  </si>
  <si>
    <t>5,357.60</t>
  </si>
  <si>
    <t>4,861.70</t>
  </si>
  <si>
    <t>4,923.85</t>
  </si>
  <si>
    <t>-0.15</t>
  </si>
  <si>
    <t>705</t>
  </si>
  <si>
    <t>27,725</t>
  </si>
  <si>
    <t>4,355.25</t>
  </si>
  <si>
    <t>5,014.40</t>
  </si>
  <si>
    <t>4,379.85</t>
  </si>
  <si>
    <t>5,281.90</t>
  </si>
  <si>
    <t>4,283.90</t>
  </si>
  <si>
    <t>5,162.45</t>
  </si>
  <si>
    <t>4,091.95</t>
  </si>
  <si>
    <t>4,837.45</t>
  </si>
  <si>
    <t>4,359.75</t>
  </si>
  <si>
    <t>4,423.85</t>
  </si>
  <si>
    <t>542</t>
  </si>
  <si>
    <t>-1,525</t>
  </si>
  <si>
    <t>30,875</t>
  </si>
  <si>
    <t>3,912.15</t>
  </si>
  <si>
    <t>4,618.45</t>
  </si>
  <si>
    <t>4,065.20</t>
  </si>
  <si>
    <t>4,433.30</t>
  </si>
  <si>
    <t>3,728.60</t>
  </si>
  <si>
    <t>4,432.65</t>
  </si>
  <si>
    <t>3,886.25</t>
  </si>
  <si>
    <t>4,146.20</t>
  </si>
  <si>
    <t>-0.20</t>
  </si>
  <si>
    <t>105</t>
  </si>
  <si>
    <t>2,125</t>
  </si>
  <si>
    <t>5,250</t>
  </si>
  <si>
    <t>3,859.75</t>
  </si>
  <si>
    <t>3,924.75</t>
  </si>
  <si>
    <t>3,881</t>
  </si>
  <si>
    <t>-34,900</t>
  </si>
  <si>
    <t>148,000</t>
  </si>
  <si>
    <t>3,530.05</t>
  </si>
  <si>
    <t>4,242.20</t>
  </si>
  <si>
    <t>202</t>
  </si>
  <si>
    <t>3,342.30</t>
  </si>
  <si>
    <t>4,135.65</t>
  </si>
  <si>
    <t>147</t>
  </si>
  <si>
    <t>3,502.90</t>
  </si>
  <si>
    <t>3,823.50</t>
  </si>
  <si>
    <t>39</t>
  </si>
  <si>
    <t>4,050</t>
  </si>
  <si>
    <t>3,235.10</t>
  </si>
  <si>
    <t>3,962.45</t>
  </si>
  <si>
    <t>3,360.60</t>
  </si>
  <si>
    <t>3,423.60</t>
  </si>
  <si>
    <t>2,292</t>
  </si>
  <si>
    <t>-3,250</t>
  </si>
  <si>
    <t>134,800</t>
  </si>
  <si>
    <t>3,209.80</t>
  </si>
  <si>
    <t>3,429.75</t>
  </si>
  <si>
    <t>87</t>
  </si>
  <si>
    <t>3,118.45</t>
  </si>
  <si>
    <t>3,328.10</t>
  </si>
  <si>
    <t>3,018.45</t>
  </si>
  <si>
    <t>3,293.95</t>
  </si>
  <si>
    <t>347</t>
  </si>
  <si>
    <t>-3,350</t>
  </si>
  <si>
    <t>9,075</t>
  </si>
  <si>
    <t>2,913.80</t>
  </si>
  <si>
    <t>3,113.80</t>
  </si>
  <si>
    <t>-225</t>
  </si>
  <si>
    <t>9,425</t>
  </si>
  <si>
    <t>3,275</t>
  </si>
  <si>
    <t>43</t>
  </si>
  <si>
    <t>2,903.45</t>
  </si>
  <si>
    <t>10.90</t>
  </si>
  <si>
    <t>2,903.60</t>
  </si>
  <si>
    <t>2,928.95</t>
  </si>
  <si>
    <t>8,305</t>
  </si>
  <si>
    <t>-12,225</t>
  </si>
  <si>
    <t>391,775</t>
  </si>
  <si>
    <t>2,715.75</t>
  </si>
  <si>
    <t>2,915.75</t>
  </si>
  <si>
    <t>873</t>
  </si>
  <si>
    <t>4,775</t>
  </si>
  <si>
    <t>18,950</t>
  </si>
  <si>
    <t>2,796.75</t>
  </si>
  <si>
    <t>1,517</t>
  </si>
  <si>
    <t>-1,150</t>
  </si>
  <si>
    <t>19,375</t>
  </si>
  <si>
    <t>2,550.30</t>
  </si>
  <si>
    <t>2,680.00</t>
  </si>
  <si>
    <t>-2.55</t>
  </si>
  <si>
    <t>836</t>
  </si>
  <si>
    <t>42,600</t>
  </si>
  <si>
    <t>1,825</t>
  </si>
  <si>
    <t>34</t>
  </si>
  <si>
    <t>2,547.25</t>
  </si>
  <si>
    <t>292.10</t>
  </si>
  <si>
    <t>2,459.65</t>
  </si>
  <si>
    <t>2,532.05</t>
  </si>
  <si>
    <t>-2.90</t>
  </si>
  <si>
    <t>1,453</t>
  </si>
  <si>
    <t>160,100</t>
  </si>
  <si>
    <t>2,320.20</t>
  </si>
  <si>
    <t>2,429.90</t>
  </si>
  <si>
    <t>14,838</t>
  </si>
  <si>
    <t>-64,550</t>
  </si>
  <si>
    <t>441,100</t>
  </si>
  <si>
    <t>2,255.10</t>
  </si>
  <si>
    <t>2,384.85</t>
  </si>
  <si>
    <t>1,484</t>
  </si>
  <si>
    <t>-3,550</t>
  </si>
  <si>
    <t>25,625</t>
  </si>
  <si>
    <t>2,121.85</t>
  </si>
  <si>
    <t>2,251.65</t>
  </si>
  <si>
    <t>-3.50</t>
  </si>
  <si>
    <t>1,634</t>
  </si>
  <si>
    <t>250</t>
  </si>
  <si>
    <t>20,175</t>
  </si>
  <si>
    <t>1,650</t>
  </si>
  <si>
    <t>2,080.00</t>
  </si>
  <si>
    <t>650.00</t>
  </si>
  <si>
    <t>2,021.85</t>
  </si>
  <si>
    <t>2,160.65</t>
  </si>
  <si>
    <t>3,090</t>
  </si>
  <si>
    <t>7,625</t>
  </si>
  <si>
    <t>46,050</t>
  </si>
  <si>
    <t>1,921.90</t>
  </si>
  <si>
    <t>2,065.40</t>
  </si>
  <si>
    <t>4,024</t>
  </si>
  <si>
    <t>51,675</t>
  </si>
  <si>
    <t>13,650</t>
  </si>
  <si>
    <t>-2,000</t>
  </si>
  <si>
    <t>1,875.35</t>
  </si>
  <si>
    <t>-26.60</t>
  </si>
  <si>
    <t>1,890.15</t>
  </si>
  <si>
    <t>1,927.85</t>
  </si>
  <si>
    <t>-4.45</t>
  </si>
  <si>
    <t>41,995</t>
  </si>
  <si>
    <t>17,050</t>
  </si>
  <si>
    <t>610,575</t>
  </si>
  <si>
    <t>1,754.75</t>
  </si>
  <si>
    <t>1,839.85</t>
  </si>
  <si>
    <t>11,459</t>
  </si>
  <si>
    <t>30,775</t>
  </si>
  <si>
    <t>138,850</t>
  </si>
  <si>
    <t>1,651.95</t>
  </si>
  <si>
    <t>1,771.05</t>
  </si>
  <si>
    <t>15,807</t>
  </si>
  <si>
    <t>-13,250</t>
  </si>
  <si>
    <t>3,950</t>
  </si>
  <si>
    <t>1,575.00</t>
  </si>
  <si>
    <t>-45.80</t>
  </si>
  <si>
    <t>1,568.25</t>
  </si>
  <si>
    <t>1,634.60</t>
  </si>
  <si>
    <t>-6.75</t>
  </si>
  <si>
    <t>37,525</t>
  </si>
  <si>
    <t>268,875</t>
  </si>
  <si>
    <t>455,900</t>
  </si>
  <si>
    <t>1,498.15</t>
  </si>
  <si>
    <t>1,536.35</t>
  </si>
  <si>
    <t>-7.30</t>
  </si>
  <si>
    <t>25,148</t>
  </si>
  <si>
    <t>20,125</t>
  </si>
  <si>
    <t>153,550</t>
  </si>
  <si>
    <t>31,350</t>
  </si>
  <si>
    <t>-2,500</t>
  </si>
  <si>
    <t>441</t>
  </si>
  <si>
    <t>1,407.00</t>
  </si>
  <si>
    <t>-31.95</t>
  </si>
  <si>
    <t>1,408.65</t>
  </si>
  <si>
    <t>1,415.75</t>
  </si>
  <si>
    <t>-8.45</t>
  </si>
  <si>
    <t>102,529</t>
  </si>
  <si>
    <t>433,725</t>
  </si>
  <si>
    <t>973,350</t>
  </si>
  <si>
    <t>196</t>
  </si>
  <si>
    <t>1,309.00</t>
  </si>
  <si>
    <t>-29.80</t>
  </si>
  <si>
    <t>1,306.45</t>
  </si>
  <si>
    <t>1,315.15</t>
  </si>
  <si>
    <t>-9.60</t>
  </si>
  <si>
    <t>44,815</t>
  </si>
  <si>
    <t>6,075</t>
  </si>
  <si>
    <t>209,425</t>
  </si>
  <si>
    <t>1,207.95</t>
  </si>
  <si>
    <t>-11.25</t>
  </si>
  <si>
    <t>58,108</t>
  </si>
  <si>
    <t>144,100</t>
  </si>
  <si>
    <t>375,900</t>
  </si>
  <si>
    <t>12,525</t>
  </si>
  <si>
    <t>-2,200</t>
  </si>
  <si>
    <t>424</t>
  </si>
  <si>
    <t>1,122.75</t>
  </si>
  <si>
    <t>-30.60</t>
  </si>
  <si>
    <t>1,108.15</t>
  </si>
  <si>
    <t>1,117.30</t>
  </si>
  <si>
    <t>-13.90</t>
  </si>
  <si>
    <t>88,089</t>
  </si>
  <si>
    <t>162,025</t>
  </si>
  <si>
    <t>487,350</t>
  </si>
  <si>
    <t>8,325</t>
  </si>
  <si>
    <t>-2,825</t>
  </si>
  <si>
    <t>996.45</t>
  </si>
  <si>
    <t>-34.95</t>
  </si>
  <si>
    <t>1,009.20</t>
  </si>
  <si>
    <t>1,016.40</t>
  </si>
  <si>
    <t>-16.30</t>
  </si>
  <si>
    <t>111,873</t>
  </si>
  <si>
    <t>248,050</t>
  </si>
  <si>
    <t>567,000</t>
  </si>
  <si>
    <t>109,850</t>
  </si>
  <si>
    <t>-14,775</t>
  </si>
  <si>
    <t>6,587</t>
  </si>
  <si>
    <t>912.95</t>
  </si>
  <si>
    <t>-21.55</t>
  </si>
  <si>
    <t>911.00</t>
  </si>
  <si>
    <t>914.65</t>
  </si>
  <si>
    <t>-19.50</t>
  </si>
  <si>
    <t>310,890</t>
  </si>
  <si>
    <t>1,027,100</t>
  </si>
  <si>
    <t>2,022,475</t>
  </si>
  <si>
    <t>19,725</t>
  </si>
  <si>
    <t>-6,050</t>
  </si>
  <si>
    <t>1,201</t>
  </si>
  <si>
    <t>800.30</t>
  </si>
  <si>
    <t>-34.85</t>
  </si>
  <si>
    <t>811.00</t>
  </si>
  <si>
    <t>817.00</t>
  </si>
  <si>
    <t>3.85</t>
  </si>
  <si>
    <t>-23.60</t>
  </si>
  <si>
    <t>3.80</t>
  </si>
  <si>
    <t>188,839</t>
  </si>
  <si>
    <t>455,600</t>
  </si>
  <si>
    <t>754,025</t>
  </si>
  <si>
    <t>61,875</t>
  </si>
  <si>
    <t>-19,950</t>
  </si>
  <si>
    <t>5,272</t>
  </si>
  <si>
    <t>715.25</t>
  </si>
  <si>
    <t>-30.15</t>
  </si>
  <si>
    <t>713.10</t>
  </si>
  <si>
    <t>716.75</t>
  </si>
  <si>
    <t>4.85</t>
  </si>
  <si>
    <t>-28.90</t>
  </si>
  <si>
    <t>4.80</t>
  </si>
  <si>
    <t>310,855</t>
  </si>
  <si>
    <t>488,275</t>
  </si>
  <si>
    <t>985,300</t>
  </si>
  <si>
    <t>80,325</t>
  </si>
  <si>
    <t>-11,250</t>
  </si>
  <si>
    <t>9,672</t>
  </si>
  <si>
    <t>616.00</t>
  </si>
  <si>
    <t>-38.90</t>
  </si>
  <si>
    <t>615.45</t>
  </si>
  <si>
    <t>619.25</t>
  </si>
  <si>
    <t>6.65</t>
  </si>
  <si>
    <t>-35.25</t>
  </si>
  <si>
    <t>401,532</t>
  </si>
  <si>
    <t>514,050</t>
  </si>
  <si>
    <t>906,100</t>
  </si>
  <si>
    <t>74,250</t>
  </si>
  <si>
    <t>3,100</t>
  </si>
  <si>
    <t>17,807</t>
  </si>
  <si>
    <t>518.90</t>
  </si>
  <si>
    <t>-44.80</t>
  </si>
  <si>
    <t>518.40</t>
  </si>
  <si>
    <t>521.10</t>
  </si>
  <si>
    <t>9.70</t>
  </si>
  <si>
    <t>-44.00</t>
  </si>
  <si>
    <t>9.60</t>
  </si>
  <si>
    <t>497,481</t>
  </si>
  <si>
    <t>667,025</t>
  </si>
  <si>
    <t>953,200</t>
  </si>
  <si>
    <t>384,225</t>
  </si>
  <si>
    <t>-92,875</t>
  </si>
  <si>
    <t>96,562</t>
  </si>
  <si>
    <t>428.55</t>
  </si>
  <si>
    <t>-47.85</t>
  </si>
  <si>
    <t>427.65</t>
  </si>
  <si>
    <t>429.00</t>
  </si>
  <si>
    <t>14.75</t>
  </si>
  <si>
    <t>-54.65</t>
  </si>
  <si>
    <t>755,781</t>
  </si>
  <si>
    <t>1,143,525</t>
  </si>
  <si>
    <t>1,900,075</t>
  </si>
  <si>
    <t>114,150</t>
  </si>
  <si>
    <t>-43,150</t>
  </si>
  <si>
    <t>101,460</t>
  </si>
  <si>
    <t>335.00</t>
  </si>
  <si>
    <t>-61.70</t>
  </si>
  <si>
    <t>334.20</t>
  </si>
  <si>
    <t>336.55</t>
  </si>
  <si>
    <t>23.00</t>
  </si>
  <si>
    <t>-68.85</t>
  </si>
  <si>
    <t>22.95</t>
  </si>
  <si>
    <t>671,347</t>
  </si>
  <si>
    <t>803,375</t>
  </si>
  <si>
    <t>1,047,175</t>
  </si>
  <si>
    <t>272,250</t>
  </si>
  <si>
    <t>96,150</t>
  </si>
  <si>
    <t>251,612</t>
  </si>
  <si>
    <t>250.00</t>
  </si>
  <si>
    <t>-77.20</t>
  </si>
  <si>
    <t>249.90</t>
  </si>
  <si>
    <t>251.25</t>
  </si>
  <si>
    <t>38.15</t>
  </si>
  <si>
    <t>-81.75</t>
  </si>
  <si>
    <t>38.10</t>
  </si>
  <si>
    <t>683,461</t>
  </si>
  <si>
    <t>1,090,525</t>
  </si>
  <si>
    <t>1,288,475</t>
  </si>
  <si>
    <t>607,025</t>
  </si>
  <si>
    <t>120,525</t>
  </si>
  <si>
    <t>472,239</t>
  </si>
  <si>
    <t>177.00</t>
  </si>
  <si>
    <t>-87.95</t>
  </si>
  <si>
    <t>177.10</t>
  </si>
  <si>
    <t>178.00</t>
  </si>
  <si>
    <t>63.95</t>
  </si>
  <si>
    <t>-93.30</t>
  </si>
  <si>
    <t>64.00</t>
  </si>
  <si>
    <t>590,369</t>
  </si>
  <si>
    <t>676,100</t>
  </si>
  <si>
    <t>966,500</t>
  </si>
  <si>
    <t>1,029,650</t>
  </si>
  <si>
    <t>720,825</t>
  </si>
  <si>
    <t>520,930</t>
  </si>
  <si>
    <t>114.95</t>
  </si>
  <si>
    <t>-99.95</t>
  </si>
  <si>
    <t>114.35</t>
  </si>
  <si>
    <t>103.90</t>
  </si>
  <si>
    <t>-98.55</t>
  </si>
  <si>
    <t>390,270</t>
  </si>
  <si>
    <t>532,325</t>
  </si>
  <si>
    <t>694,650</t>
  </si>
  <si>
    <t>2,118,350</t>
  </si>
  <si>
    <t>1,099,175</t>
  </si>
  <si>
    <t>1,200,205</t>
  </si>
  <si>
    <t>73.70</t>
  </si>
  <si>
    <t>-97.40</t>
  </si>
  <si>
    <t>73.60</t>
  </si>
  <si>
    <t>73.95</t>
  </si>
  <si>
    <t>163.10</t>
  </si>
  <si>
    <t>-93.75</t>
  </si>
  <si>
    <t>162.90</t>
  </si>
  <si>
    <t>468,710</t>
  </si>
  <si>
    <t>552,775</t>
  </si>
  <si>
    <t>919,300</t>
  </si>
  <si>
    <t>1,032,000</t>
  </si>
  <si>
    <t>684,975</t>
  </si>
  <si>
    <t>647,814</t>
  </si>
  <si>
    <t>47.70</t>
  </si>
  <si>
    <t>-85.30</t>
  </si>
  <si>
    <t>47.90</t>
  </si>
  <si>
    <t>233.70</t>
  </si>
  <si>
    <t>-83.65</t>
  </si>
  <si>
    <t>233.30</t>
  </si>
  <si>
    <t>96,805</t>
  </si>
  <si>
    <t>99,875</t>
  </si>
  <si>
    <t>130,650</t>
  </si>
  <si>
    <t>1,552,275</t>
  </si>
  <si>
    <t>855,925</t>
  </si>
  <si>
    <t>881,575</t>
  </si>
  <si>
    <t>29.80</t>
  </si>
  <si>
    <t>-74.70</t>
  </si>
  <si>
    <t>30.00</t>
  </si>
  <si>
    <t>317.00</t>
  </si>
  <si>
    <t>-72.90</t>
  </si>
  <si>
    <t>315.00</t>
  </si>
  <si>
    <t>51,711</t>
  </si>
  <si>
    <t>40,750</t>
  </si>
  <si>
    <t>75,100</t>
  </si>
  <si>
    <t>1,166,100</t>
  </si>
  <si>
    <t>737,000</t>
  </si>
  <si>
    <t>613,434</t>
  </si>
  <si>
    <t>19.05</t>
  </si>
  <si>
    <t>-62.90</t>
  </si>
  <si>
    <t>19.00</t>
  </si>
  <si>
    <t>19.10</t>
  </si>
  <si>
    <t>406.50</t>
  </si>
  <si>
    <t>-53.30</t>
  </si>
  <si>
    <t>405.50</t>
  </si>
  <si>
    <t>22,879</t>
  </si>
  <si>
    <t>18,125</t>
  </si>
  <si>
    <t>40,100</t>
  </si>
  <si>
    <t>1,070,325</t>
  </si>
  <si>
    <t>767,725</t>
  </si>
  <si>
    <t>499,958</t>
  </si>
  <si>
    <t>12.30</t>
  </si>
  <si>
    <t>-51.65</t>
  </si>
  <si>
    <t>12.20</t>
  </si>
  <si>
    <t>502.00</t>
  </si>
  <si>
    <t>-44.70</t>
  </si>
  <si>
    <t>500.00</t>
  </si>
  <si>
    <t>11,078</t>
  </si>
  <si>
    <t>83,200</t>
  </si>
  <si>
    <t>92,475</t>
  </si>
  <si>
    <t>2,486,925</t>
  </si>
  <si>
    <t>1,656,675</t>
  </si>
  <si>
    <t>748,389</t>
  </si>
  <si>
    <t>7.85</t>
  </si>
  <si>
    <t>-42.00</t>
  </si>
  <si>
    <t>7.95</t>
  </si>
  <si>
    <t>595.40</t>
  </si>
  <si>
    <t>-39.75</t>
  </si>
  <si>
    <t>596.35</t>
  </si>
  <si>
    <t>10,076</t>
  </si>
  <si>
    <t>26,450</t>
  </si>
  <si>
    <t>60,925</t>
  </si>
  <si>
    <t>874,175</t>
  </si>
  <si>
    <t>589,425</t>
  </si>
  <si>
    <t>323,822</t>
  </si>
  <si>
    <t>5.05</t>
  </si>
  <si>
    <t>-33.70</t>
  </si>
  <si>
    <t>5.10</t>
  </si>
  <si>
    <t>698.55</t>
  </si>
  <si>
    <t>-27.05</t>
  </si>
  <si>
    <t>712.95</t>
  </si>
  <si>
    <t>459</t>
  </si>
  <si>
    <t>707,125</t>
  </si>
  <si>
    <t>483,775</t>
  </si>
  <si>
    <t>209,143</t>
  </si>
  <si>
    <t>3.30</t>
  </si>
  <si>
    <t>-27.30</t>
  </si>
  <si>
    <t>796.70</t>
  </si>
  <si>
    <t>-21.05</t>
  </si>
  <si>
    <t>808.80</t>
  </si>
  <si>
    <t>354</t>
  </si>
  <si>
    <t>-1,325</t>
  </si>
  <si>
    <t>5,825</t>
  </si>
  <si>
    <t>511,025</t>
  </si>
  <si>
    <t>276,975</t>
  </si>
  <si>
    <t>152,952</t>
  </si>
  <si>
    <t>2.50</t>
  </si>
  <si>
    <t>-21.80</t>
  </si>
  <si>
    <t>2.40</t>
  </si>
  <si>
    <t>896.00</t>
  </si>
  <si>
    <t>-27.45</t>
  </si>
  <si>
    <t>900.00</t>
  </si>
  <si>
    <t>240</t>
  </si>
  <si>
    <t>3,200</t>
  </si>
  <si>
    <t>376,250</t>
  </si>
  <si>
    <t>244,500</t>
  </si>
  <si>
    <t>99,053</t>
  </si>
  <si>
    <t>2.00</t>
  </si>
  <si>
    <t>-17.20</t>
  </si>
  <si>
    <t>2.05</t>
  </si>
  <si>
    <t>996.80</t>
  </si>
  <si>
    <t>-7.40</t>
  </si>
  <si>
    <t>1,005.65</t>
  </si>
  <si>
    <t>1,425</t>
  </si>
  <si>
    <t>1,748,300</t>
  </si>
  <si>
    <t>894,000</t>
  </si>
  <si>
    <t>240,516</t>
  </si>
  <si>
    <t>-13.60</t>
  </si>
  <si>
    <t>1,094.15</t>
  </si>
  <si>
    <t>39.80</t>
  </si>
  <si>
    <t>1,123.95</t>
  </si>
  <si>
    <t>536</t>
  </si>
  <si>
    <t>9,950</t>
  </si>
  <si>
    <t>212,925</t>
  </si>
  <si>
    <t>118,275</t>
  </si>
  <si>
    <t>43,442</t>
  </si>
  <si>
    <t>-11.00</t>
  </si>
  <si>
    <t>1,196.55</t>
  </si>
  <si>
    <t>50.25</t>
  </si>
  <si>
    <t>1,200.00</t>
  </si>
  <si>
    <t>74</t>
  </si>
  <si>
    <t>157,225</t>
  </si>
  <si>
    <t>39,775</t>
  </si>
  <si>
    <t>34,583</t>
  </si>
  <si>
    <t>-8.75</t>
  </si>
  <si>
    <t>1,295.55</t>
  </si>
  <si>
    <t>132,450</t>
  </si>
  <si>
    <t>17,775</t>
  </si>
  <si>
    <t>23,780</t>
  </si>
  <si>
    <t>-7.50</t>
  </si>
  <si>
    <t>1,397.55</t>
  </si>
  <si>
    <t>112,475</t>
  </si>
  <si>
    <t>-2,725</t>
  </si>
  <si>
    <t>17,444</t>
  </si>
  <si>
    <t>-6.20</t>
  </si>
  <si>
    <t>1,565.50</t>
  </si>
  <si>
    <t>1,184,975</t>
  </si>
  <si>
    <t>273,275</t>
  </si>
  <si>
    <t>175,771</t>
  </si>
  <si>
    <t>-5.85</t>
  </si>
  <si>
    <t>1,595.85</t>
  </si>
  <si>
    <t>41,150</t>
  </si>
  <si>
    <t>-5,150</t>
  </si>
  <si>
    <t>3,480</t>
  </si>
  <si>
    <t>-5.10</t>
  </si>
  <si>
    <t>1,760.00</t>
  </si>
  <si>
    <t>34,000</t>
  </si>
  <si>
    <t>3,175</t>
  </si>
  <si>
    <t>2,976</t>
  </si>
  <si>
    <t>-4.40</t>
  </si>
  <si>
    <t>1,824.80</t>
  </si>
  <si>
    <t>40,300</t>
  </si>
  <si>
    <t>-10,925</t>
  </si>
  <si>
    <t>2,752</t>
  </si>
  <si>
    <t>-4.15</t>
  </si>
  <si>
    <t>1,934.60</t>
  </si>
  <si>
    <t>20,350</t>
  </si>
  <si>
    <t>-1,000</t>
  </si>
  <si>
    <t>1,267</t>
  </si>
  <si>
    <t>2,048.70</t>
  </si>
  <si>
    <t>422,725</t>
  </si>
  <si>
    <t>-114,875</t>
  </si>
  <si>
    <t>32,988</t>
  </si>
  <si>
    <t>2,154.85</t>
  </si>
  <si>
    <t>-17.45</t>
  </si>
  <si>
    <t>2,156.00</t>
  </si>
  <si>
    <t>492</t>
  </si>
  <si>
    <t>-3.10</t>
  </si>
  <si>
    <t>2,306.70</t>
  </si>
  <si>
    <t>15,250</t>
  </si>
  <si>
    <t>443</t>
  </si>
  <si>
    <t>-2.70</t>
  </si>
  <si>
    <t>2,406.95</t>
  </si>
  <si>
    <t>11,550</t>
  </si>
  <si>
    <t>277</t>
  </si>
  <si>
    <t>2,506.90</t>
  </si>
  <si>
    <t>310</t>
  </si>
  <si>
    <t>2,608.05</t>
  </si>
  <si>
    <t>163,325</t>
  </si>
  <si>
    <t>-43,125</t>
  </si>
  <si>
    <t>9,724</t>
  </si>
  <si>
    <t>2,639.00</t>
  </si>
  <si>
    <t>3,550</t>
  </si>
  <si>
    <t>-1,125</t>
  </si>
  <si>
    <t>2,807.80</t>
  </si>
  <si>
    <t>1,700</t>
  </si>
  <si>
    <t>109</t>
  </si>
  <si>
    <t>110</t>
  </si>
  <si>
    <t>3,625</t>
  </si>
  <si>
    <t>192</t>
  </si>
  <si>
    <t>267,625</t>
  </si>
  <si>
    <t>33,425</t>
  </si>
  <si>
    <t>10,449</t>
  </si>
  <si>
    <t>3,177.45</t>
  </si>
  <si>
    <t>4,700</t>
  </si>
  <si>
    <t>251</t>
  </si>
  <si>
    <t>3,347.15</t>
  </si>
  <si>
    <t>3,445.50</t>
  </si>
  <si>
    <t>1,800</t>
  </si>
  <si>
    <t>1,550</t>
  </si>
  <si>
    <t>133</t>
  </si>
  <si>
    <t>3,547.20</t>
  </si>
  <si>
    <t>3,695.50</t>
  </si>
  <si>
    <t>175,350</t>
  </si>
  <si>
    <t>17,300</t>
  </si>
  <si>
    <t>4,532</t>
  </si>
  <si>
    <t>3,677.45</t>
  </si>
  <si>
    <t>19,539,700</t>
  </si>
  <si>
    <t>7,468,233</t>
  </si>
  <si>
    <t>6,050,694</t>
  </si>
  <si>
    <t>18,662,000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</si>
</sst>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quot;$&quot;#,##0_);\(&quot;$&quot;#,##0\)"/>
    <numFmt numFmtId="166" formatCode="_(* #,##0.00_);_(* \(#,##0.00\);_(* &quot;-&quot;??_);_(@_)"/>
  </numFmts>
  <fonts count="35" x14ac:knownFonts="1">
    <font>
      <sz val="11"/>
      <color theme="1"/>
      <name val="Calibri"/>
      <family val="2"/>
      <scheme val="minor"/>
    </font>
    <font>
      <b/>
      <sz val="11"/>
      <color theme="1"/>
      <name val="Calibri"/>
      <family val="2"/>
      <scheme val="minor"/>
    </font>
    <font>
      <b/>
      <sz val="14"/>
      <color theme="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10"/>
      <name val="Arial"/>
      <family val="2"/>
    </font>
    <font>
      <u/>
      <sz val="10"/>
      <color indexed="12"/>
      <name val="Arial"/>
      <family val="2"/>
    </font>
    <font>
      <u/>
      <sz val="11"/>
      <color theme="10"/>
      <name val="Calibri"/>
      <family val="2"/>
    </font>
    <font>
      <sz val="10"/>
      <color rgb="FF000000"/>
      <name val="Arial"/>
      <family val="2"/>
    </font>
    <font>
      <b/>
      <sz val="12"/>
      <color theme="1"/>
      <name val="Calibri"/>
      <family val="2"/>
      <scheme val="minor"/>
    </font>
    <font>
      <b/>
      <u/>
      <sz val="14"/>
      <color rgb="FFFFFF00"/>
      <name val="Arial"/>
      <family val="2"/>
    </font>
    <font>
      <b/>
      <sz val="14"/>
      <color rgb="FFFFFF00"/>
      <name val="Arial"/>
      <family val="2"/>
    </font>
    <font>
      <b/>
      <sz val="12"/>
      <color rgb="FF0070C0"/>
      <name val="Calibri"/>
      <family val="2"/>
      <scheme val="minor"/>
    </font>
    <font>
      <sz val="8"/>
      <name val="Calibri"/>
      <family val="2"/>
      <scheme val="minor"/>
    </font>
    <font>
      <sz val="18"/>
      <color theme="1"/>
      <name val="Calibri"/>
      <family val="2"/>
      <scheme val="minor"/>
    </font>
    <font>
      <sz val="9"/>
      <color theme="1"/>
      <name val="Calibri"/>
      <family val="2"/>
      <scheme val="minor"/>
    </font>
    <font>
      <b/>
      <sz val="18"/>
      <color theme="0"/>
      <name val="Calibri"/>
      <family val="2"/>
      <scheme val="minor"/>
    </font>
    <font>
      <sz val="18"/>
      <color theme="0"/>
      <name val="Calibri"/>
      <family val="2"/>
      <scheme val="minor"/>
    </font>
    <font>
      <u/>
      <sz val="11"/>
      <color theme="10"/>
      <name val="Calibri"/>
      <family val="2"/>
      <scheme val="minor"/>
    </font>
    <font>
      <b/>
      <sz val="16"/>
      <color theme="0"/>
      <name val="Calibri"/>
      <family val="2"/>
      <scheme val="minor"/>
    </font>
  </fonts>
  <fills count="45">
    <fill>
      <patternFill patternType="none"/>
    </fill>
    <fill>
      <patternFill patternType="gray125"/>
    </fill>
    <fill>
      <gradientFill degree="90">
        <stop position="0">
          <color theme="3" tint="0.40000610370189521"/>
        </stop>
        <stop position="0.5">
          <color theme="3" tint="0.59999389629810485"/>
        </stop>
        <stop position="1">
          <color theme="3" tint="0.40000610370189521"/>
        </stop>
      </gradientFill>
    </fill>
    <fill>
      <gradientFill>
        <stop position="0">
          <color theme="3" tint="0.59999389629810485"/>
        </stop>
        <stop position="0.5">
          <color theme="0"/>
        </stop>
        <stop position="1">
          <color theme="3" tint="0.59999389629810485"/>
        </stop>
      </gradientFill>
    </fill>
    <fill>
      <gradientFill>
        <stop position="0">
          <color theme="4" tint="0.40000610370189521"/>
        </stop>
        <stop position="0.5">
          <color theme="0"/>
        </stop>
        <stop position="1">
          <color theme="4" tint="0.40000610370189521"/>
        </stop>
      </gradientFill>
    </fill>
    <fill>
      <patternFill patternType="solid">
        <fgColor theme="1"/>
        <bgColor indexed="64"/>
      </patternFill>
    </fill>
    <fill>
      <patternFill patternType="solid">
        <fgColor theme="3"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1"/>
        <bgColor indexed="49"/>
      </patternFill>
    </fill>
    <fill>
      <patternFill patternType="solid">
        <fgColor indexed="25"/>
        <bgColor indexed="60"/>
      </patternFill>
    </fill>
    <fill>
      <patternFill patternType="solid">
        <fgColor indexed="10"/>
        <bgColor indexed="60"/>
      </patternFill>
    </fill>
    <fill>
      <patternFill patternType="solid">
        <fgColor theme="0" tint="-4.9989318521683403E-2"/>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rgb="FF7030A0"/>
      </left>
      <right style="thin">
        <color rgb="FF7030A0"/>
      </right>
      <top style="thin">
        <color rgb="FF7030A0"/>
      </top>
      <bottom style="thin">
        <color rgb="FF7030A0"/>
      </bottom>
      <diagonal/>
    </border>
    <border>
      <left/>
      <right style="thin">
        <color indexed="64"/>
      </right>
      <top style="thin">
        <color indexed="64"/>
      </top>
      <bottom style="thin">
        <color indexed="64"/>
      </bottom>
      <diagonal/>
    </border>
    <border>
      <left style="thin">
        <color rgb="FF7030A0"/>
      </left>
      <right style="thin">
        <color rgb="FF7030A0"/>
      </right>
      <top style="thin">
        <color indexed="64"/>
      </top>
      <bottom style="thin">
        <color rgb="FF7030A0"/>
      </bottom>
      <diagonal/>
    </border>
    <border>
      <left style="thin">
        <color rgb="FF7030A0"/>
      </left>
      <right style="thin">
        <color rgb="FF7030A0"/>
      </right>
      <top/>
      <bottom style="thin">
        <color indexed="64"/>
      </bottom>
      <diagonal/>
    </border>
    <border>
      <left style="thin">
        <color rgb="FF7030A0"/>
      </left>
      <right style="thin">
        <color rgb="FF7030A0"/>
      </right>
      <top/>
      <bottom style="thin">
        <color rgb="FF7030A0"/>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bottom style="thin">
        <color theme="1"/>
      </bottom>
      <diagonal/>
    </border>
    <border>
      <left style="thin">
        <color theme="1"/>
      </left>
      <right/>
      <top/>
      <bottom style="thin">
        <color theme="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right style="thin">
        <color theme="9" tint="0.39997558519241921"/>
      </right>
      <top style="double">
        <color theme="9"/>
      </top>
      <bottom style="thin">
        <color theme="9" tint="0.39997558519241921"/>
      </bottom>
      <diagonal/>
    </border>
  </borders>
  <cellStyleXfs count="69">
    <xf numFmtId="0" fontId="0" fillId="0" borderId="0"/>
    <xf numFmtId="0" fontId="4" fillId="0" borderId="0" applyNumberFormat="0" applyFill="0" applyBorder="0" applyAlignment="0" applyProtection="0"/>
    <xf numFmtId="0" fontId="5" fillId="0" borderId="15" applyNumberFormat="0" applyFill="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7" borderId="0" applyNumberFormat="0" applyBorder="0" applyAlignment="0" applyProtection="0"/>
    <xf numFmtId="0" fontId="9" fillId="8" borderId="0" applyNumberFormat="0" applyBorder="0" applyAlignment="0" applyProtection="0"/>
    <xf numFmtId="0" fontId="10" fillId="9" borderId="0" applyNumberFormat="0" applyBorder="0" applyAlignment="0" applyProtection="0"/>
    <xf numFmtId="0" fontId="11" fillId="10" borderId="18" applyNumberFormat="0" applyAlignment="0" applyProtection="0"/>
    <xf numFmtId="0" fontId="12" fillId="11" borderId="19" applyNumberFormat="0" applyAlignment="0" applyProtection="0"/>
    <xf numFmtId="0" fontId="13" fillId="11" borderId="18" applyNumberFormat="0" applyAlignment="0" applyProtection="0"/>
    <xf numFmtId="0" fontId="14" fillId="0" borderId="20" applyNumberFormat="0" applyFill="0" applyAlignment="0" applyProtection="0"/>
    <xf numFmtId="0" fontId="15" fillId="12" borderId="21"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 fillId="0" borderId="23" applyNumberFormat="0" applyFill="0" applyAlignment="0" applyProtection="0"/>
    <xf numFmtId="0" fontId="18"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18" fillId="37" borderId="0" applyNumberFormat="0" applyBorder="0" applyAlignment="0" applyProtection="0"/>
    <xf numFmtId="0" fontId="19" fillId="0" borderId="0"/>
    <xf numFmtId="0" fontId="19" fillId="0" borderId="0"/>
    <xf numFmtId="0" fontId="19" fillId="0" borderId="0"/>
    <xf numFmtId="166" fontId="3" fillId="0" borderId="0" applyFont="0" applyFill="0" applyBorder="0" applyAlignment="0" applyProtection="0"/>
    <xf numFmtId="164" fontId="19" fillId="0" borderId="0" applyFont="0" applyFill="0" applyBorder="0" applyAlignment="0" applyProtection="0"/>
    <xf numFmtId="3" fontId="19" fillId="0" borderId="0" applyFont="0" applyFill="0" applyBorder="0" applyAlignment="0" applyProtection="0"/>
    <xf numFmtId="165" fontId="19" fillId="0" borderId="0" applyFont="0" applyFill="0" applyBorder="0" applyAlignment="0" applyProtection="0"/>
    <xf numFmtId="0" fontId="19" fillId="0" borderId="0" applyNumberFormat="0" applyFont="0" applyFill="0" applyBorder="0" applyProtection="0">
      <alignment horizontal="left"/>
    </xf>
    <xf numFmtId="0" fontId="19"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ill="0" applyBorder="0" applyAlignment="0" applyProtection="0"/>
    <xf numFmtId="0" fontId="20" fillId="0" borderId="0" applyNumberFormat="0" applyFill="0" applyBorder="0" applyProtection="0">
      <alignment horizontal="left"/>
    </xf>
    <xf numFmtId="0" fontId="19" fillId="0" borderId="0" applyNumberFormat="0" applyFont="0" applyFill="0" applyBorder="0" applyAlignment="0" applyProtection="0"/>
    <xf numFmtId="0" fontId="19" fillId="0" borderId="0" applyFont="0" applyFill="0" applyBorder="0" applyAlignment="0" applyProtection="0"/>
    <xf numFmtId="2" fontId="19" fillId="0" borderId="0" applyFont="0" applyFill="0" applyBorder="0" applyAlignment="0" applyProtection="0"/>
    <xf numFmtId="0" fontId="19" fillId="38" borderId="0" applyNumberFormat="0" applyFont="0" applyBorder="0" applyAlignment="0" applyProtection="0"/>
    <xf numFmtId="0" fontId="22" fillId="0" borderId="0" applyNumberFormat="0" applyFill="0" applyBorder="0" applyAlignment="0" applyProtection="0">
      <alignment vertical="top"/>
      <protection locked="0"/>
    </xf>
    <xf numFmtId="0" fontId="21" fillId="0" borderId="0" applyNumberFormat="0" applyFill="0" applyBorder="0" applyAlignment="0" applyProtection="0">
      <alignment vertical="top"/>
      <protection locked="0"/>
    </xf>
    <xf numFmtId="0" fontId="19" fillId="39" borderId="0" applyNumberFormat="0" applyFont="0" applyBorder="0" applyAlignment="0" applyProtection="0"/>
    <xf numFmtId="0" fontId="3" fillId="0" borderId="0"/>
    <xf numFmtId="0" fontId="19" fillId="0" borderId="0"/>
    <xf numFmtId="0" fontId="19" fillId="0" borderId="0"/>
    <xf numFmtId="0" fontId="19" fillId="0" borderId="0"/>
    <xf numFmtId="0" fontId="19" fillId="0" borderId="0"/>
    <xf numFmtId="0" fontId="23" fillId="0" borderId="0"/>
    <xf numFmtId="0" fontId="3" fillId="13" borderId="22" applyNumberFormat="0" applyFont="0" applyAlignment="0" applyProtection="0"/>
    <xf numFmtId="0" fontId="19" fillId="40" borderId="0" applyNumberFormat="0" applyFont="0" applyBorder="0" applyAlignment="0" applyProtection="0"/>
    <xf numFmtId="0" fontId="33" fillId="0" borderId="0" applyNumberFormat="0" applyFill="0" applyBorder="0" applyAlignment="0" applyProtection="0"/>
  </cellStyleXfs>
  <cellXfs count="70">
    <xf numFmtId="0" fontId="0" fillId="0" borderId="0" xfId="0"/>
    <xf numFmtId="3" fontId="0" fillId="0" borderId="0" xfId="0" applyNumberFormat="1"/>
    <xf numFmtId="0" fontId="0" fillId="0" borderId="0" xfId="0" applyAlignment="1">
      <alignment horizontal="center" vertical="center" wrapText="1"/>
    </xf>
    <xf numFmtId="0" fontId="0" fillId="0" borderId="1" xfId="0" applyBorder="1" applyAlignment="1">
      <alignment horizontal="center" vertical="center"/>
    </xf>
    <xf numFmtId="0" fontId="1" fillId="2" borderId="1" xfId="0" applyFont="1" applyFill="1" applyBorder="1" applyAlignment="1">
      <alignment horizontal="center" vertical="center" wrapText="1"/>
    </xf>
    <xf numFmtId="0" fontId="0" fillId="0" borderId="3" xfId="0" applyBorder="1" applyAlignment="1">
      <alignment horizontal="center" vertical="center"/>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center" vertical="center"/>
    </xf>
    <xf numFmtId="0" fontId="0" fillId="0" borderId="5" xfId="0" applyBorder="1" applyAlignment="1">
      <alignment horizontal="center" vertical="center"/>
    </xf>
    <xf numFmtId="0" fontId="0" fillId="0" borderId="4" xfId="0" applyBorder="1" applyAlignment="1">
      <alignment horizontal="center" vertical="center"/>
    </xf>
    <xf numFmtId="0" fontId="1" fillId="2" borderId="8"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9" xfId="0" applyFont="1" applyFill="1" applyBorder="1" applyAlignment="1">
      <alignment horizontal="center" vertical="center"/>
    </xf>
    <xf numFmtId="0" fontId="1" fillId="2" borderId="8" xfId="0" applyFont="1" applyFill="1" applyBorder="1" applyAlignment="1">
      <alignment horizontal="center" vertical="center"/>
    </xf>
    <xf numFmtId="0" fontId="0" fillId="5" borderId="0" xfId="0" applyFill="1"/>
    <xf numFmtId="0" fontId="0" fillId="6" borderId="0" xfId="0" applyFill="1"/>
    <xf numFmtId="0" fontId="0" fillId="5" borderId="0" xfId="0" applyFill="1" applyAlignment="1">
      <alignment horizontal="center" vertical="center" wrapText="1"/>
    </xf>
    <xf numFmtId="0" fontId="18" fillId="5" borderId="0" xfId="0" applyFont="1" applyFill="1"/>
    <xf numFmtId="0" fontId="0" fillId="5" borderId="0" xfId="0" applyFill="1" applyBorder="1"/>
    <xf numFmtId="2" fontId="26" fillId="5" borderId="0" xfId="42" applyNumberFormat="1" applyFont="1" applyFill="1" applyBorder="1" applyAlignment="1">
      <alignment horizontal="center"/>
    </xf>
    <xf numFmtId="10" fontId="26" fillId="5" borderId="0" xfId="42" applyNumberFormat="1" applyFont="1" applyFill="1" applyBorder="1" applyAlignment="1">
      <alignment horizontal="center" vertical="top"/>
    </xf>
    <xf numFmtId="10" fontId="26" fillId="5" borderId="0" xfId="42" applyNumberFormat="1" applyFont="1" applyFill="1" applyBorder="1" applyAlignment="1">
      <alignment horizontal="center"/>
    </xf>
    <xf numFmtId="0" fontId="20" fillId="5" borderId="0" xfId="42" applyFont="1" applyFill="1" applyBorder="1" applyAlignment="1">
      <alignment horizontal="center"/>
    </xf>
    <xf numFmtId="1" fontId="20" fillId="5" borderId="0" xfId="42" applyNumberFormat="1" applyFont="1" applyFill="1" applyBorder="1" applyAlignment="1"/>
    <xf numFmtId="1" fontId="20" fillId="5" borderId="0" xfId="42" applyNumberFormat="1" applyFont="1" applyFill="1" applyBorder="1" applyAlignment="1">
      <alignment horizontal="center"/>
    </xf>
    <xf numFmtId="0" fontId="24" fillId="5" borderId="0" xfId="60" applyFont="1" applyFill="1" applyBorder="1" applyAlignment="1">
      <alignment horizontal="center"/>
    </xf>
    <xf numFmtId="2" fontId="26" fillId="5" borderId="0" xfId="42" applyNumberFormat="1" applyFont="1" applyFill="1" applyBorder="1" applyAlignment="1">
      <alignment horizontal="left" vertical="center"/>
    </xf>
    <xf numFmtId="0" fontId="26" fillId="5" borderId="0" xfId="42" applyFont="1" applyFill="1" applyBorder="1" applyAlignment="1">
      <alignment horizontal="left" vertical="center"/>
    </xf>
    <xf numFmtId="0" fontId="0" fillId="0" borderId="0" xfId="0" applyNumberFormat="1"/>
    <xf numFmtId="1" fontId="0" fillId="0" borderId="0" xfId="0" applyNumberFormat="1"/>
    <xf numFmtId="0" fontId="0" fillId="0" borderId="0" xfId="0" applyFill="1"/>
    <xf numFmtId="1" fontId="0" fillId="5" borderId="0" xfId="0" applyNumberFormat="1" applyFill="1"/>
    <xf numFmtId="1" fontId="1" fillId="2" borderId="9" xfId="0" applyNumberFormat="1" applyFont="1" applyFill="1" applyBorder="1" applyAlignment="1">
      <alignment horizontal="center" vertical="center" wrapText="1"/>
    </xf>
    <xf numFmtId="1" fontId="25" fillId="5" borderId="0" xfId="42" applyNumberFormat="1" applyFont="1" applyFill="1" applyBorder="1" applyAlignment="1">
      <alignment horizontal="left" vertical="top"/>
    </xf>
    <xf numFmtId="1" fontId="0" fillId="0" borderId="0" xfId="0" applyNumberFormat="1" applyFill="1"/>
    <xf numFmtId="0" fontId="1" fillId="0" borderId="25" xfId="0" applyFont="1" applyBorder="1"/>
    <xf numFmtId="4" fontId="0" fillId="5" borderId="0" xfId="0" applyNumberFormat="1" applyFill="1"/>
    <xf numFmtId="20" fontId="0" fillId="0" borderId="0" xfId="0" applyNumberFormat="1"/>
    <xf numFmtId="4" fontId="0" fillId="41" borderId="1" xfId="0" applyNumberFormat="1" applyFill="1" applyBorder="1" applyAlignment="1">
      <alignment horizontal="center" vertical="center"/>
    </xf>
    <xf numFmtId="0" fontId="0" fillId="42" borderId="0" xfId="0" applyFill="1"/>
    <xf numFmtId="0" fontId="1" fillId="43" borderId="0" xfId="0" applyFont="1" applyFill="1" applyAlignment="1">
      <alignment horizontal="right"/>
    </xf>
    <xf numFmtId="0" fontId="30" fillId="0" borderId="0" xfId="0" applyFont="1"/>
    <xf numFmtId="3" fontId="27" fillId="0" borderId="24" xfId="0" applyNumberFormat="1" applyFont="1" applyFill="1" applyBorder="1" applyAlignment="1">
      <alignment horizontal="center" vertical="center"/>
    </xf>
    <xf numFmtId="3" fontId="24" fillId="0" borderId="24" xfId="0" applyNumberFormat="1" applyFont="1" applyFill="1" applyBorder="1" applyAlignment="1">
      <alignment horizontal="center" vertical="center"/>
    </xf>
    <xf numFmtId="0" fontId="31" fillId="5" borderId="0" xfId="0" applyFont="1" applyFill="1"/>
    <xf numFmtId="0" fontId="32" fillId="5" borderId="0" xfId="0" applyFont="1" applyFill="1"/>
    <xf numFmtId="0" fontId="33" fillId="5" borderId="0" xfId="68" applyFill="1"/>
    <xf numFmtId="3" fontId="0" fillId="44" borderId="1" xfId="0" applyNumberFormat="1" applyFill="1" applyBorder="1"/>
    <xf numFmtId="3" fontId="1" fillId="44" borderId="1" xfId="0" applyNumberFormat="1" applyFont="1" applyFill="1" applyBorder="1"/>
    <xf numFmtId="3" fontId="0" fillId="44" borderId="1" xfId="0" applyNumberFormat="1" applyFill="1" applyBorder="1" applyAlignment="1">
      <alignment horizontal="center" vertical="center"/>
    </xf>
    <xf numFmtId="4" fontId="0" fillId="44" borderId="1" xfId="0" applyNumberFormat="1" applyFill="1" applyBorder="1" applyAlignment="1">
      <alignment horizontal="center" vertical="center"/>
    </xf>
    <xf numFmtId="3" fontId="1" fillId="44" borderId="1" xfId="0" applyNumberFormat="1" applyFont="1" applyFill="1" applyBorder="1" applyAlignment="1">
      <alignment horizontal="center" vertical="center"/>
    </xf>
    <xf numFmtId="3" fontId="27" fillId="44" borderId="1" xfId="0" applyNumberFormat="1" applyFont="1" applyFill="1" applyBorder="1" applyAlignment="1">
      <alignment horizontal="center" vertical="center"/>
    </xf>
    <xf numFmtId="0" fontId="1" fillId="0" borderId="0" xfId="0" applyFont="1"/>
    <xf numFmtId="0" fontId="0" fillId="0" borderId="0" xfId="0" applyAlignment="1">
      <alignment wrapText="1"/>
    </xf>
    <xf numFmtId="0" fontId="2" fillId="5" borderId="0" xfId="0" applyFont="1" applyFill="1" applyAlignment="1">
      <alignment horizontal="center"/>
    </xf>
    <xf numFmtId="0" fontId="29" fillId="5" borderId="0" xfId="0" applyFont="1" applyFill="1" applyAlignment="1">
      <alignment horizontal="center"/>
    </xf>
    <xf numFmtId="0" fontId="0" fillId="43" borderId="0" xfId="0" applyFill="1" applyAlignment="1">
      <alignment horizontal="right"/>
    </xf>
    <xf numFmtId="0" fontId="34" fillId="5" borderId="0" xfId="0" applyFont="1" applyFill="1" applyAlignment="1">
      <alignment horizontal="center"/>
    </xf>
    <xf numFmtId="0" fontId="31" fillId="5" borderId="0" xfId="0" applyFont="1" applyFill="1" applyAlignment="1">
      <alignment horizont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13" xfId="0" applyFont="1" applyFill="1" applyBorder="1" applyAlignment="1">
      <alignment horizontal="center" vertical="center"/>
    </xf>
    <xf numFmtId="0" fontId="1" fillId="3" borderId="12" xfId="0" applyFont="1" applyFill="1" applyBorder="1" applyAlignment="1">
      <alignment horizontal="center" vertical="center"/>
    </xf>
    <xf numFmtId="0" fontId="1" fillId="4" borderId="14" xfId="0" applyFont="1" applyFill="1" applyBorder="1" applyAlignment="1">
      <alignment horizontal="center"/>
    </xf>
    <xf numFmtId="0" fontId="1" fillId="4" borderId="13" xfId="0" applyFont="1" applyFill="1" applyBorder="1" applyAlignment="1">
      <alignment horizontal="center"/>
    </xf>
    <xf numFmtId="0" fontId="1" fillId="4" borderId="11" xfId="0" applyFont="1" applyFill="1" applyBorder="1" applyAlignment="1">
      <alignment horizontal="center"/>
    </xf>
    <xf numFmtId="0" fontId="1" fillId="4" borderId="12" xfId="0" applyFont="1" applyFill="1" applyBorder="1" applyAlignment="1">
      <alignment horizontal="center"/>
    </xf>
  </cellXfs>
  <cellStyles count="69">
    <cellStyle name="%" xfId="42" xr:uid="{00000000-0005-0000-0000-000000000000}"/>
    <cellStyle name="% 2" xfId="43" xr:uid="{00000000-0005-0000-0000-000001000000}"/>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Comma 2" xfId="44" xr:uid="{00000000-0005-0000-0000-00001D000000}"/>
    <cellStyle name="Comma 2 2" xfId="45" xr:uid="{00000000-0005-0000-0000-00001E000000}"/>
    <cellStyle name="Comma0" xfId="46" xr:uid="{00000000-0005-0000-0000-00001F000000}"/>
    <cellStyle name="Currency0" xfId="47" xr:uid="{00000000-0005-0000-0000-000020000000}"/>
    <cellStyle name="DataPilot Category" xfId="48" xr:uid="{00000000-0005-0000-0000-000021000000}"/>
    <cellStyle name="DataPilot Corner" xfId="49" xr:uid="{00000000-0005-0000-0000-000022000000}"/>
    <cellStyle name="DataPilot Field" xfId="50" xr:uid="{00000000-0005-0000-0000-000023000000}"/>
    <cellStyle name="DataPilot Result" xfId="51" xr:uid="{00000000-0005-0000-0000-000024000000}"/>
    <cellStyle name="DataPilot Title" xfId="52" xr:uid="{00000000-0005-0000-0000-000025000000}"/>
    <cellStyle name="DataPilot Value" xfId="53" xr:uid="{00000000-0005-0000-0000-000026000000}"/>
    <cellStyle name="Date" xfId="54" xr:uid="{00000000-0005-0000-0000-000027000000}"/>
    <cellStyle name="Explanatory Text" xfId="15" builtinId="53" customBuiltin="1"/>
    <cellStyle name="Fixed" xfId="55" xr:uid="{00000000-0005-0000-0000-000029000000}"/>
    <cellStyle name="Good" xfId="6" builtinId="26" customBuiltin="1"/>
    <cellStyle name="Green" xfId="56" xr:uid="{00000000-0005-0000-0000-00002B000000}"/>
    <cellStyle name="Heading 1" xfId="2" builtinId="16" customBuiltin="1"/>
    <cellStyle name="Heading 2" xfId="3" builtinId="17" customBuiltin="1"/>
    <cellStyle name="Heading 3" xfId="4" builtinId="18" customBuiltin="1"/>
    <cellStyle name="Heading 4" xfId="5" builtinId="19" customBuiltin="1"/>
    <cellStyle name="Hyperlink" xfId="68" builtinId="8"/>
    <cellStyle name="Hyperlink 2" xfId="57" xr:uid="{00000000-0005-0000-0000-000030000000}"/>
    <cellStyle name="Hyperlink 2 2" xfId="58" xr:uid="{00000000-0005-0000-0000-000031000000}"/>
    <cellStyle name="Input" xfId="9" builtinId="20" customBuiltin="1"/>
    <cellStyle name="LightRed" xfId="59" xr:uid="{00000000-0005-0000-0000-000033000000}"/>
    <cellStyle name="Linked Cell" xfId="12" builtinId="24" customBuiltin="1"/>
    <cellStyle name="Neutral" xfId="8" builtinId="28" customBuiltin="1"/>
    <cellStyle name="Normal" xfId="0" builtinId="0"/>
    <cellStyle name="Normal 2" xfId="60" xr:uid="{00000000-0005-0000-0000-000037000000}"/>
    <cellStyle name="Normal 2 2" xfId="61" xr:uid="{00000000-0005-0000-0000-000038000000}"/>
    <cellStyle name="Normal 3" xfId="62" xr:uid="{00000000-0005-0000-0000-000039000000}"/>
    <cellStyle name="Normal 3 2" xfId="63" xr:uid="{00000000-0005-0000-0000-00003A000000}"/>
    <cellStyle name="Normal 4" xfId="64" xr:uid="{00000000-0005-0000-0000-00003B000000}"/>
    <cellStyle name="Normal 5" xfId="65" xr:uid="{00000000-0005-0000-0000-00003C000000}"/>
    <cellStyle name="Normal 6" xfId="41" xr:uid="{00000000-0005-0000-0000-00003D000000}"/>
    <cellStyle name="Note 2" xfId="66" xr:uid="{00000000-0005-0000-0000-00003E000000}"/>
    <cellStyle name="Output" xfId="10" builtinId="21" customBuiltin="1"/>
    <cellStyle name="RED" xfId="67" xr:uid="{00000000-0005-0000-0000-000040000000}"/>
    <cellStyle name="Title" xfId="1" builtinId="15" customBuiltin="1"/>
    <cellStyle name="Total" xfId="16" builtinId="25" customBuiltin="1"/>
    <cellStyle name="Warning Text" xfId="14" builtinId="11" customBuiltin="1"/>
  </cellStyles>
  <dxfs count="2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gradientFill degree="45">
          <stop position="0">
            <color theme="5" tint="-0.25098422193060094"/>
          </stop>
          <stop position="1">
            <color theme="5" tint="0.40000610370189521"/>
          </stop>
        </gradientFill>
      </fill>
    </dxf>
    <dxf>
      <fill>
        <gradientFill degree="90">
          <stop position="0">
            <color rgb="FF00B0F0"/>
          </stop>
          <stop position="0.5">
            <color theme="4" tint="0.40000610370189521"/>
          </stop>
          <stop position="1">
            <color rgb="FF00B0F0"/>
          </stop>
        </gradient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s>
  <tableStyles count="0" defaultTableStyle="TableStyleMedium9"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Open Interest Data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4666915538103829E-2"/>
          <c:y val="0.11239393939393939"/>
          <c:w val="0.93245629195384816"/>
          <c:h val="0.66598973991887378"/>
        </c:manualLayout>
      </c:layout>
      <c:barChart>
        <c:barDir val="col"/>
        <c:grouping val="clustered"/>
        <c:varyColors val="0"/>
        <c:ser>
          <c:idx val="0"/>
          <c:order val="0"/>
          <c:tx>
            <c:v>PUT</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Options!$P$7:$P$27</c:f>
              <c:numCache>
                <c:formatCode>#,##0</c:formatCode>
                <c:ptCount val="21"/>
                <c:pt idx="0">
                  <c:v>567000</c:v>
                </c:pt>
                <c:pt idx="1">
                  <c:v>2022475</c:v>
                </c:pt>
                <c:pt idx="2">
                  <c:v>754025</c:v>
                </c:pt>
                <c:pt idx="3">
                  <c:v>985300</c:v>
                </c:pt>
                <c:pt idx="4">
                  <c:v>906100</c:v>
                </c:pt>
                <c:pt idx="5">
                  <c:v>953200</c:v>
                </c:pt>
                <c:pt idx="6">
                  <c:v>1900075</c:v>
                </c:pt>
                <c:pt idx="7">
                  <c:v>1047175</c:v>
                </c:pt>
                <c:pt idx="8">
                  <c:v>1288475</c:v>
                </c:pt>
                <c:pt idx="9">
                  <c:v>966500</c:v>
                </c:pt>
                <c:pt idx="10">
                  <c:v>694650</c:v>
                </c:pt>
                <c:pt idx="11">
                  <c:v>919300</c:v>
                </c:pt>
                <c:pt idx="12">
                  <c:v>130650</c:v>
                </c:pt>
                <c:pt idx="13">
                  <c:v>75100</c:v>
                </c:pt>
                <c:pt idx="14">
                  <c:v>40100</c:v>
                </c:pt>
                <c:pt idx="15">
                  <c:v>92475</c:v>
                </c:pt>
                <c:pt idx="16">
                  <c:v>60925</c:v>
                </c:pt>
                <c:pt idx="17">
                  <c:v>4175</c:v>
                </c:pt>
                <c:pt idx="18">
                  <c:v>5825</c:v>
                </c:pt>
                <c:pt idx="19">
                  <c:v>3200</c:v>
                </c:pt>
                <c:pt idx="20">
                  <c:v>1425</c:v>
                </c:pt>
              </c:numCache>
            </c:numRef>
          </c:val>
          <c:extLst>
            <c:ext xmlns:c16="http://schemas.microsoft.com/office/drawing/2014/chart" uri="{C3380CC4-5D6E-409C-BE32-E72D297353CC}">
              <c16:uniqueId val="{00000000-286C-4AFF-9E47-E35E16EA63EF}"/>
            </c:ext>
          </c:extLst>
        </c:ser>
        <c:ser>
          <c:idx val="2"/>
          <c:order val="1"/>
          <c:tx>
            <c:v>CALL</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Options!$H$7:$H$27</c:f>
              <c:numCache>
                <c:formatCode>#,##0</c:formatCode>
                <c:ptCount val="21"/>
                <c:pt idx="0">
                  <c:v>8325</c:v>
                </c:pt>
                <c:pt idx="1">
                  <c:v>109850</c:v>
                </c:pt>
                <c:pt idx="2">
                  <c:v>19725</c:v>
                </c:pt>
                <c:pt idx="3">
                  <c:v>61875</c:v>
                </c:pt>
                <c:pt idx="4">
                  <c:v>80325</c:v>
                </c:pt>
                <c:pt idx="5">
                  <c:v>74250</c:v>
                </c:pt>
                <c:pt idx="6">
                  <c:v>384225</c:v>
                </c:pt>
                <c:pt idx="7">
                  <c:v>114150</c:v>
                </c:pt>
                <c:pt idx="8">
                  <c:v>272250</c:v>
                </c:pt>
                <c:pt idx="9">
                  <c:v>607025</c:v>
                </c:pt>
                <c:pt idx="10">
                  <c:v>1029650</c:v>
                </c:pt>
                <c:pt idx="11">
                  <c:v>2118350</c:v>
                </c:pt>
                <c:pt idx="12">
                  <c:v>1032000</c:v>
                </c:pt>
                <c:pt idx="13">
                  <c:v>1552275</c:v>
                </c:pt>
                <c:pt idx="14">
                  <c:v>1166100</c:v>
                </c:pt>
                <c:pt idx="15">
                  <c:v>1070325</c:v>
                </c:pt>
                <c:pt idx="16">
                  <c:v>2486925</c:v>
                </c:pt>
                <c:pt idx="17">
                  <c:v>874175</c:v>
                </c:pt>
                <c:pt idx="18">
                  <c:v>707125</c:v>
                </c:pt>
                <c:pt idx="19">
                  <c:v>511025</c:v>
                </c:pt>
                <c:pt idx="20">
                  <c:v>376250</c:v>
                </c:pt>
              </c:numCache>
            </c:numRef>
          </c:val>
          <c:extLst>
            <c:ext xmlns:c16="http://schemas.microsoft.com/office/drawing/2014/chart" uri="{C3380CC4-5D6E-409C-BE32-E72D297353CC}">
              <c16:uniqueId val="{00000002-286C-4AFF-9E47-E35E16EA63EF}"/>
            </c:ext>
          </c:extLst>
        </c:ser>
        <c:dLbls>
          <c:showLegendKey val="0"/>
          <c:showVal val="0"/>
          <c:showCatName val="0"/>
          <c:showSerName val="0"/>
          <c:showPercent val="0"/>
          <c:showBubbleSize val="0"/>
        </c:dLbls>
        <c:gapWidth val="100"/>
        <c:overlap val="-24"/>
        <c:axId val="334295168"/>
        <c:axId val="334298120"/>
      </c:barChart>
      <c:catAx>
        <c:axId val="334295168"/>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8120"/>
        <c:crosses val="autoZero"/>
        <c:auto val="1"/>
        <c:lblAlgn val="ctr"/>
        <c:lblOffset val="100"/>
        <c:noMultiLvlLbl val="0"/>
      </c:catAx>
      <c:valAx>
        <c:axId val="33429812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5168"/>
        <c:crosses val="autoZero"/>
        <c:crossBetween val="between"/>
      </c:valAx>
      <c:spPr>
        <a:noFill/>
        <a:ln>
          <a:noFill/>
        </a:ln>
        <a:effectLst/>
      </c:spPr>
    </c:plotArea>
    <c:legend>
      <c:legendPos val="t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83598438520058105"/>
          <c:y val="1.9235668789808921E-2"/>
          <c:w val="0.11325419347962215"/>
          <c:h val="0.122081682464851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OI Change Data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4666915538103829E-2"/>
          <c:y val="0.11239393939393939"/>
          <c:w val="0.93245629195384816"/>
          <c:h val="0.66598973991887378"/>
        </c:manualLayout>
      </c:layout>
      <c:barChart>
        <c:barDir val="col"/>
        <c:grouping val="clustered"/>
        <c:varyColors val="0"/>
        <c:ser>
          <c:idx val="0"/>
          <c:order val="0"/>
          <c:tx>
            <c:v>PUT</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Options!$O$7:$O$27</c:f>
              <c:numCache>
                <c:formatCode>#,##0</c:formatCode>
                <c:ptCount val="21"/>
                <c:pt idx="0">
                  <c:v>248050</c:v>
                </c:pt>
                <c:pt idx="1">
                  <c:v>1027100</c:v>
                </c:pt>
                <c:pt idx="2">
                  <c:v>455600</c:v>
                </c:pt>
                <c:pt idx="3">
                  <c:v>488275</c:v>
                </c:pt>
                <c:pt idx="4">
                  <c:v>514050</c:v>
                </c:pt>
                <c:pt idx="5">
                  <c:v>667025</c:v>
                </c:pt>
                <c:pt idx="6">
                  <c:v>1143525</c:v>
                </c:pt>
                <c:pt idx="7">
                  <c:v>803375</c:v>
                </c:pt>
                <c:pt idx="8">
                  <c:v>1090525</c:v>
                </c:pt>
                <c:pt idx="9">
                  <c:v>676100</c:v>
                </c:pt>
                <c:pt idx="10">
                  <c:v>532325</c:v>
                </c:pt>
                <c:pt idx="11">
                  <c:v>552775</c:v>
                </c:pt>
                <c:pt idx="12">
                  <c:v>99875</c:v>
                </c:pt>
                <c:pt idx="13">
                  <c:v>40750</c:v>
                </c:pt>
                <c:pt idx="14">
                  <c:v>18125</c:v>
                </c:pt>
                <c:pt idx="15">
                  <c:v>83200</c:v>
                </c:pt>
                <c:pt idx="16">
                  <c:v>26450</c:v>
                </c:pt>
                <c:pt idx="17">
                  <c:v>-700</c:v>
                </c:pt>
                <c:pt idx="18">
                  <c:v>-1325</c:v>
                </c:pt>
                <c:pt idx="19">
                  <c:v>475</c:v>
                </c:pt>
                <c:pt idx="20">
                  <c:v>0</c:v>
                </c:pt>
              </c:numCache>
            </c:numRef>
          </c:val>
          <c:extLst>
            <c:ext xmlns:c16="http://schemas.microsoft.com/office/drawing/2014/chart" uri="{C3380CC4-5D6E-409C-BE32-E72D297353CC}">
              <c16:uniqueId val="{00000000-44BB-4161-A336-DDE4642B081B}"/>
            </c:ext>
          </c:extLst>
        </c:ser>
        <c:ser>
          <c:idx val="2"/>
          <c:order val="1"/>
          <c:tx>
            <c:v>CALL</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Options!$I$7:$I$27</c:f>
              <c:numCache>
                <c:formatCode>#,##0</c:formatCode>
                <c:ptCount val="21"/>
                <c:pt idx="0">
                  <c:v>-2825</c:v>
                </c:pt>
                <c:pt idx="1">
                  <c:v>-14775</c:v>
                </c:pt>
                <c:pt idx="2">
                  <c:v>-6050</c:v>
                </c:pt>
                <c:pt idx="3">
                  <c:v>-19950</c:v>
                </c:pt>
                <c:pt idx="4">
                  <c:v>-11250</c:v>
                </c:pt>
                <c:pt idx="5">
                  <c:v>3100</c:v>
                </c:pt>
                <c:pt idx="6">
                  <c:v>-92875</c:v>
                </c:pt>
                <c:pt idx="7">
                  <c:v>-43150</c:v>
                </c:pt>
                <c:pt idx="8">
                  <c:v>96150</c:v>
                </c:pt>
                <c:pt idx="9">
                  <c:v>120525</c:v>
                </c:pt>
                <c:pt idx="10">
                  <c:v>720825</c:v>
                </c:pt>
                <c:pt idx="11">
                  <c:v>1099175</c:v>
                </c:pt>
                <c:pt idx="12">
                  <c:v>684975</c:v>
                </c:pt>
                <c:pt idx="13">
                  <c:v>855925</c:v>
                </c:pt>
                <c:pt idx="14">
                  <c:v>737000</c:v>
                </c:pt>
                <c:pt idx="15">
                  <c:v>767725</c:v>
                </c:pt>
                <c:pt idx="16">
                  <c:v>1656675</c:v>
                </c:pt>
                <c:pt idx="17">
                  <c:v>589425</c:v>
                </c:pt>
                <c:pt idx="18">
                  <c:v>483775</c:v>
                </c:pt>
                <c:pt idx="19">
                  <c:v>276975</c:v>
                </c:pt>
                <c:pt idx="20">
                  <c:v>244500</c:v>
                </c:pt>
              </c:numCache>
            </c:numRef>
          </c:val>
          <c:extLst>
            <c:ext xmlns:c16="http://schemas.microsoft.com/office/drawing/2014/chart" uri="{C3380CC4-5D6E-409C-BE32-E72D297353CC}">
              <c16:uniqueId val="{00000001-44BB-4161-A336-DDE4642B081B}"/>
            </c:ext>
          </c:extLst>
        </c:ser>
        <c:dLbls>
          <c:showLegendKey val="0"/>
          <c:showVal val="0"/>
          <c:showCatName val="0"/>
          <c:showSerName val="0"/>
          <c:showPercent val="0"/>
          <c:showBubbleSize val="0"/>
        </c:dLbls>
        <c:gapWidth val="100"/>
        <c:overlap val="-24"/>
        <c:axId val="334295168"/>
        <c:axId val="334298120"/>
      </c:barChart>
      <c:catAx>
        <c:axId val="334295168"/>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8120"/>
        <c:crosses val="autoZero"/>
        <c:auto val="1"/>
        <c:lblAlgn val="ctr"/>
        <c:lblOffset val="100"/>
        <c:noMultiLvlLbl val="0"/>
      </c:catAx>
      <c:valAx>
        <c:axId val="33429812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5168"/>
        <c:crosses val="autoZero"/>
        <c:crossBetween val="between"/>
      </c:valAx>
      <c:spPr>
        <a:noFill/>
        <a:ln>
          <a:noFill/>
        </a:ln>
        <a:effectLst/>
      </c:spPr>
    </c:plotArea>
    <c:legend>
      <c:legendPos val="t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8664412379924592"/>
          <c:y val="2.3481953290870494E-2"/>
          <c:w val="0.11325419347962215"/>
          <c:h val="9.66039754584816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Volume Data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4666915538103829E-2"/>
          <c:y val="0.11239393939393939"/>
          <c:w val="0.93245629195384816"/>
          <c:h val="0.66598973991887378"/>
        </c:manualLayout>
      </c:layout>
      <c:barChart>
        <c:barDir val="col"/>
        <c:grouping val="clustered"/>
        <c:varyColors val="0"/>
        <c:ser>
          <c:idx val="0"/>
          <c:order val="0"/>
          <c:tx>
            <c:v>PUT</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Options!$Q$7:$Q$27</c:f>
              <c:numCache>
                <c:formatCode>#,##0</c:formatCode>
                <c:ptCount val="21"/>
                <c:pt idx="0">
                  <c:v>111873</c:v>
                </c:pt>
                <c:pt idx="1">
                  <c:v>310890</c:v>
                </c:pt>
                <c:pt idx="2">
                  <c:v>188839</c:v>
                </c:pt>
                <c:pt idx="3">
                  <c:v>310855</c:v>
                </c:pt>
                <c:pt idx="4">
                  <c:v>401532</c:v>
                </c:pt>
                <c:pt idx="5">
                  <c:v>497481</c:v>
                </c:pt>
                <c:pt idx="6">
                  <c:v>755781</c:v>
                </c:pt>
                <c:pt idx="7">
                  <c:v>671347</c:v>
                </c:pt>
                <c:pt idx="8">
                  <c:v>683461</c:v>
                </c:pt>
                <c:pt idx="9">
                  <c:v>590369</c:v>
                </c:pt>
                <c:pt idx="10">
                  <c:v>390270</c:v>
                </c:pt>
                <c:pt idx="11">
                  <c:v>468710</c:v>
                </c:pt>
                <c:pt idx="12">
                  <c:v>96805</c:v>
                </c:pt>
                <c:pt idx="13">
                  <c:v>51711</c:v>
                </c:pt>
                <c:pt idx="14">
                  <c:v>22879</c:v>
                </c:pt>
                <c:pt idx="15">
                  <c:v>11078</c:v>
                </c:pt>
                <c:pt idx="16">
                  <c:v>10076</c:v>
                </c:pt>
                <c:pt idx="17">
                  <c:v>459</c:v>
                </c:pt>
                <c:pt idx="18">
                  <c:v>354</c:v>
                </c:pt>
                <c:pt idx="19">
                  <c:v>240</c:v>
                </c:pt>
                <c:pt idx="20">
                  <c:v>67</c:v>
                </c:pt>
              </c:numCache>
            </c:numRef>
          </c:val>
          <c:extLst>
            <c:ext xmlns:c16="http://schemas.microsoft.com/office/drawing/2014/chart" uri="{C3380CC4-5D6E-409C-BE32-E72D297353CC}">
              <c16:uniqueId val="{00000000-FF56-4F9A-9763-5BBF368DC7B5}"/>
            </c:ext>
          </c:extLst>
        </c:ser>
        <c:ser>
          <c:idx val="2"/>
          <c:order val="1"/>
          <c:tx>
            <c:v>CALL</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Options!$G$7:$G$27</c:f>
              <c:numCache>
                <c:formatCode>#,##0</c:formatCode>
                <c:ptCount val="21"/>
                <c:pt idx="0">
                  <c:v>381</c:v>
                </c:pt>
                <c:pt idx="1">
                  <c:v>6587</c:v>
                </c:pt>
                <c:pt idx="2">
                  <c:v>1201</c:v>
                </c:pt>
                <c:pt idx="3">
                  <c:v>5272</c:v>
                </c:pt>
                <c:pt idx="4">
                  <c:v>9672</c:v>
                </c:pt>
                <c:pt idx="5">
                  <c:v>17807</c:v>
                </c:pt>
                <c:pt idx="6">
                  <c:v>96562</c:v>
                </c:pt>
                <c:pt idx="7">
                  <c:v>101460</c:v>
                </c:pt>
                <c:pt idx="8">
                  <c:v>251612</c:v>
                </c:pt>
                <c:pt idx="9">
                  <c:v>472239</c:v>
                </c:pt>
                <c:pt idx="10">
                  <c:v>520930</c:v>
                </c:pt>
                <c:pt idx="11">
                  <c:v>1200205</c:v>
                </c:pt>
                <c:pt idx="12">
                  <c:v>647814</c:v>
                </c:pt>
                <c:pt idx="13">
                  <c:v>881575</c:v>
                </c:pt>
                <c:pt idx="14">
                  <c:v>613434</c:v>
                </c:pt>
                <c:pt idx="15">
                  <c:v>499958</c:v>
                </c:pt>
                <c:pt idx="16">
                  <c:v>748389</c:v>
                </c:pt>
                <c:pt idx="17">
                  <c:v>323822</c:v>
                </c:pt>
                <c:pt idx="18">
                  <c:v>209143</c:v>
                </c:pt>
                <c:pt idx="19">
                  <c:v>152952</c:v>
                </c:pt>
                <c:pt idx="20">
                  <c:v>99053</c:v>
                </c:pt>
              </c:numCache>
            </c:numRef>
          </c:val>
          <c:extLst>
            <c:ext xmlns:c16="http://schemas.microsoft.com/office/drawing/2014/chart" uri="{C3380CC4-5D6E-409C-BE32-E72D297353CC}">
              <c16:uniqueId val="{00000001-FF56-4F9A-9763-5BBF368DC7B5}"/>
            </c:ext>
          </c:extLst>
        </c:ser>
        <c:dLbls>
          <c:showLegendKey val="0"/>
          <c:showVal val="0"/>
          <c:showCatName val="0"/>
          <c:showSerName val="0"/>
          <c:showPercent val="0"/>
          <c:showBubbleSize val="0"/>
        </c:dLbls>
        <c:gapWidth val="100"/>
        <c:overlap val="-24"/>
        <c:axId val="334295168"/>
        <c:axId val="334298120"/>
      </c:barChart>
      <c:catAx>
        <c:axId val="334295168"/>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8120"/>
        <c:crosses val="autoZero"/>
        <c:auto val="1"/>
        <c:lblAlgn val="ctr"/>
        <c:lblOffset val="100"/>
        <c:noMultiLvlLbl val="0"/>
      </c:catAx>
      <c:valAx>
        <c:axId val="33429812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5168"/>
        <c:crosses val="autoZero"/>
        <c:crossBetween val="between"/>
      </c:valAx>
      <c:spPr>
        <a:noFill/>
        <a:ln>
          <a:noFill/>
        </a:ln>
        <a:effectLst/>
      </c:spPr>
    </c:plotArea>
    <c:legend>
      <c:legendPos val="t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8664412379924592"/>
          <c:y val="2.2505307855626377E-3"/>
          <c:w val="0.11325419347962215"/>
          <c:h val="0.113589113462727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Time VS Max Pain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4666915538103829E-2"/>
          <c:y val="0.11239393939393939"/>
          <c:w val="0.93245629195384816"/>
          <c:h val="0.66598973991887378"/>
        </c:manualLayout>
      </c:layout>
      <c:lineChart>
        <c:grouping val="standard"/>
        <c:varyColors val="0"/>
        <c:ser>
          <c:idx val="0"/>
          <c:order val="0"/>
          <c:tx>
            <c:strRef>
              <c:f>BNF!$AL$1</c:f>
              <c:strCache>
                <c:ptCount val="1"/>
                <c:pt idx="0">
                  <c:v>MAX_PAIN</c:v>
                </c:pt>
              </c:strCache>
            </c:strRef>
          </c:tx>
          <c:spPr>
            <a:ln w="34925" cap="rnd">
              <a:solidFill>
                <a:srgbClr val="C0504D"/>
              </a:solidFill>
              <a:round/>
            </a:ln>
            <a:effectLst>
              <a:outerShdw blurRad="40000" dist="23000" dir="5400000" rotWithShape="0">
                <a:srgbClr val="000000">
                  <a:alpha val="35000"/>
                </a:srgbClr>
              </a:outerShdw>
            </a:effectLst>
          </c:spPr>
          <c:marker>
            <c:symbol val="none"/>
          </c:marker>
          <c:cat>
            <c:numRef>
              <c:f>[0]!TIMESTAMP</c:f>
              <c:numCache>
                <c:formatCode>h:mm</c:formatCode>
                <c:ptCount val="3"/>
                <c:pt idx="0">
                  <c:v>0.44027777777777777</c:v>
                </c:pt>
                <c:pt idx="1">
                  <c:v>0.44791666666666669</c:v>
                </c:pt>
              </c:numCache>
            </c:numRef>
          </c:cat>
          <c:val>
            <c:numRef>
              <c:f>[0]!MAX_PAIN</c:f>
              <c:numCache>
                <c:formatCode>0</c:formatCode>
                <c:ptCount val="3"/>
                <c:pt idx="0">
                  <c:v>23800</c:v>
                </c:pt>
                <c:pt idx="1">
                  <c:v>23900</c:v>
                </c:pt>
              </c:numCache>
            </c:numRef>
          </c:val>
          <c:smooth val="0"/>
          <c:extLst>
            <c:ext xmlns:c16="http://schemas.microsoft.com/office/drawing/2014/chart" uri="{C3380CC4-5D6E-409C-BE32-E72D297353CC}">
              <c16:uniqueId val="{00000000-06BD-4D34-A63B-96DDD1F78D1B}"/>
            </c:ext>
          </c:extLst>
        </c:ser>
        <c:dLbls>
          <c:showLegendKey val="0"/>
          <c:showVal val="0"/>
          <c:showCatName val="0"/>
          <c:showSerName val="0"/>
          <c:showPercent val="0"/>
          <c:showBubbleSize val="0"/>
        </c:dLbls>
        <c:smooth val="0"/>
        <c:axId val="334295168"/>
        <c:axId val="334298120"/>
      </c:lineChart>
      <c:catAx>
        <c:axId val="334295168"/>
        <c:scaling>
          <c:orientation val="minMax"/>
        </c:scaling>
        <c:delete val="0"/>
        <c:axPos val="b"/>
        <c:numFmt formatCode="h:mm" sourceLinked="1"/>
        <c:majorTickMark val="none"/>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8120"/>
        <c:crosses val="autoZero"/>
        <c:auto val="1"/>
        <c:lblAlgn val="ctr"/>
        <c:lblOffset val="100"/>
        <c:noMultiLvlLbl val="0"/>
      </c:catAx>
      <c:valAx>
        <c:axId val="33429812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5168"/>
        <c:crosses val="autoZero"/>
        <c:crossBetween val="between"/>
      </c:valAx>
      <c:spPr>
        <a:noFill/>
        <a:ln>
          <a:noFill/>
        </a:ln>
        <a:effectLst/>
      </c:spPr>
    </c:plotArea>
    <c:legend>
      <c:legendPos val="t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75187745452413979"/>
          <c:y val="2.5601851851851858E-2"/>
          <c:w val="0.23157994828810172"/>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Options!D68"/><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Options!D1"/><Relationship Id="rId5" Type="http://schemas.openxmlformats.org/officeDocument/2006/relationships/hyperlink" Target="#Options!D50"/><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38100</xdr:colOff>
      <xdr:row>30</xdr:row>
      <xdr:rowOff>114300</xdr:rowOff>
    </xdr:from>
    <xdr:to>
      <xdr:col>8</xdr:col>
      <xdr:colOff>133350</xdr:colOff>
      <xdr:row>46</xdr:row>
      <xdr:rowOff>57150</xdr:rowOff>
    </xdr:to>
    <xdr:graphicFrame macro="">
      <xdr:nvGraphicFramePr>
        <xdr:cNvPr id="2" name="Chart 1">
          <a:extLst>
            <a:ext uri="{FF2B5EF4-FFF2-40B4-BE49-F238E27FC236}">
              <a16:creationId xmlns:a16="http://schemas.microsoft.com/office/drawing/2014/main" id="{CD193B3C-B3B8-432B-9CDD-2844624543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561975</xdr:colOff>
      <xdr:row>30</xdr:row>
      <xdr:rowOff>133350</xdr:rowOff>
    </xdr:from>
    <xdr:to>
      <xdr:col>14</xdr:col>
      <xdr:colOff>47625</xdr:colOff>
      <xdr:row>46</xdr:row>
      <xdr:rowOff>76200</xdr:rowOff>
    </xdr:to>
    <xdr:graphicFrame macro="">
      <xdr:nvGraphicFramePr>
        <xdr:cNvPr id="9" name="Chart 8">
          <a:extLst>
            <a:ext uri="{FF2B5EF4-FFF2-40B4-BE49-F238E27FC236}">
              <a16:creationId xmlns:a16="http://schemas.microsoft.com/office/drawing/2014/main" id="{70C543D4-2F8A-4AF3-9FA4-F116396113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361950</xdr:colOff>
      <xdr:row>30</xdr:row>
      <xdr:rowOff>142875</xdr:rowOff>
    </xdr:from>
    <xdr:to>
      <xdr:col>19</xdr:col>
      <xdr:colOff>781050</xdr:colOff>
      <xdr:row>46</xdr:row>
      <xdr:rowOff>85725</xdr:rowOff>
    </xdr:to>
    <xdr:graphicFrame macro="">
      <xdr:nvGraphicFramePr>
        <xdr:cNvPr id="11" name="Chart 10">
          <a:extLst>
            <a:ext uri="{FF2B5EF4-FFF2-40B4-BE49-F238E27FC236}">
              <a16:creationId xmlns:a16="http://schemas.microsoft.com/office/drawing/2014/main" id="{27E373BC-60F6-4EA8-A2B8-C44BE4ED92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49</xdr:row>
      <xdr:rowOff>0</xdr:rowOff>
    </xdr:from>
    <xdr:to>
      <xdr:col>19</xdr:col>
      <xdr:colOff>781050</xdr:colOff>
      <xdr:row>62</xdr:row>
      <xdr:rowOff>161925</xdr:rowOff>
    </xdr:to>
    <xdr:graphicFrame macro="">
      <xdr:nvGraphicFramePr>
        <xdr:cNvPr id="5" name="Chart 4">
          <a:extLst>
            <a:ext uri="{FF2B5EF4-FFF2-40B4-BE49-F238E27FC236}">
              <a16:creationId xmlns:a16="http://schemas.microsoft.com/office/drawing/2014/main" id="{C11E669F-0413-4ABD-981A-6EC3539E16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47624</xdr:colOff>
      <xdr:row>0</xdr:row>
      <xdr:rowOff>0</xdr:rowOff>
    </xdr:from>
    <xdr:to>
      <xdr:col>4</xdr:col>
      <xdr:colOff>200024</xdr:colOff>
      <xdr:row>1</xdr:row>
      <xdr:rowOff>57150</xdr:rowOff>
    </xdr:to>
    <xdr:sp macro="" textlink="">
      <xdr:nvSpPr>
        <xdr:cNvPr id="3" name="Rectangle: Rounded Corners 2">
          <a:hlinkClick xmlns:r="http://schemas.openxmlformats.org/officeDocument/2006/relationships" r:id="rId5"/>
          <a:extLst>
            <a:ext uri="{FF2B5EF4-FFF2-40B4-BE49-F238E27FC236}">
              <a16:creationId xmlns:a16="http://schemas.microsoft.com/office/drawing/2014/main" id="{125B43A9-7050-4CBF-8BBB-471FEAC1DB57}"/>
            </a:ext>
          </a:extLst>
        </xdr:cNvPr>
        <xdr:cNvSpPr/>
      </xdr:nvSpPr>
      <xdr:spPr>
        <a:xfrm>
          <a:off x="1904999" y="180975"/>
          <a:ext cx="1095375"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OI &amp; VOL</a:t>
          </a:r>
          <a:r>
            <a:rPr lang="en-GB" sz="1100" baseline="0"/>
            <a:t> Data</a:t>
          </a:r>
          <a:endParaRPr lang="en-GB" sz="1100"/>
        </a:p>
      </xdr:txBody>
    </xdr:sp>
    <xdr:clientData/>
  </xdr:twoCellAnchor>
  <xdr:twoCellAnchor>
    <xdr:from>
      <xdr:col>2</xdr:col>
      <xdr:colOff>238125</xdr:colOff>
      <xdr:row>48</xdr:row>
      <xdr:rowOff>38100</xdr:rowOff>
    </xdr:from>
    <xdr:to>
      <xdr:col>3</xdr:col>
      <xdr:colOff>885825</xdr:colOff>
      <xdr:row>48</xdr:row>
      <xdr:rowOff>314325</xdr:rowOff>
    </xdr:to>
    <xdr:sp macro="" textlink="">
      <xdr:nvSpPr>
        <xdr:cNvPr id="4" name="Rectangle: Rounded Corners 3">
          <a:hlinkClick xmlns:r="http://schemas.openxmlformats.org/officeDocument/2006/relationships" r:id="rId6"/>
          <a:extLst>
            <a:ext uri="{FF2B5EF4-FFF2-40B4-BE49-F238E27FC236}">
              <a16:creationId xmlns:a16="http://schemas.microsoft.com/office/drawing/2014/main" id="{DD2E1143-A65E-4D6E-AC4C-669B12990897}"/>
            </a:ext>
          </a:extLst>
        </xdr:cNvPr>
        <xdr:cNvSpPr/>
      </xdr:nvSpPr>
      <xdr:spPr>
        <a:xfrm>
          <a:off x="1828800" y="9658350"/>
          <a:ext cx="9144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GB" sz="1100"/>
            <a:t>TOP</a:t>
          </a:r>
        </a:p>
      </xdr:txBody>
    </xdr:sp>
    <xdr:clientData/>
  </xdr:twoCellAnchor>
  <xdr:twoCellAnchor>
    <xdr:from>
      <xdr:col>4</xdr:col>
      <xdr:colOff>600075</xdr:colOff>
      <xdr:row>0</xdr:row>
      <xdr:rowOff>0</xdr:rowOff>
    </xdr:from>
    <xdr:to>
      <xdr:col>6</xdr:col>
      <xdr:colOff>638175</xdr:colOff>
      <xdr:row>1</xdr:row>
      <xdr:rowOff>38100</xdr:rowOff>
    </xdr:to>
    <xdr:sp macro="" textlink="">
      <xdr:nvSpPr>
        <xdr:cNvPr id="6" name="Rectangle: Rounded Corners 5">
          <a:hlinkClick xmlns:r="http://schemas.openxmlformats.org/officeDocument/2006/relationships" r:id="rId7"/>
          <a:extLst>
            <a:ext uri="{FF2B5EF4-FFF2-40B4-BE49-F238E27FC236}">
              <a16:creationId xmlns:a16="http://schemas.microsoft.com/office/drawing/2014/main" id="{5347C5B7-7013-4D11-BC54-7885518A4FFB}"/>
            </a:ext>
          </a:extLst>
        </xdr:cNvPr>
        <xdr:cNvSpPr/>
      </xdr:nvSpPr>
      <xdr:spPr>
        <a:xfrm>
          <a:off x="3400425" y="190500"/>
          <a:ext cx="1257300"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Max Pain  Change</a:t>
          </a:r>
        </a:p>
      </xdr:txBody>
    </xdr:sp>
    <xdr:clientData/>
  </xdr:twoCellAnchor>
  <xdr:twoCellAnchor>
    <xdr:from>
      <xdr:col>3</xdr:col>
      <xdr:colOff>0</xdr:colOff>
      <xdr:row>29</xdr:row>
      <xdr:rowOff>0</xdr:rowOff>
    </xdr:from>
    <xdr:to>
      <xdr:col>3</xdr:col>
      <xdr:colOff>914400</xdr:colOff>
      <xdr:row>30</xdr:row>
      <xdr:rowOff>85725</xdr:rowOff>
    </xdr:to>
    <xdr:sp macro="" textlink="">
      <xdr:nvSpPr>
        <xdr:cNvPr id="14" name="Rectangle: Rounded Corners 13">
          <a:hlinkClick xmlns:r="http://schemas.openxmlformats.org/officeDocument/2006/relationships" r:id="rId6"/>
          <a:extLst>
            <a:ext uri="{FF2B5EF4-FFF2-40B4-BE49-F238E27FC236}">
              <a16:creationId xmlns:a16="http://schemas.microsoft.com/office/drawing/2014/main" id="{059D8716-070C-4F6A-803C-571B53080A6A}"/>
            </a:ext>
          </a:extLst>
        </xdr:cNvPr>
        <xdr:cNvSpPr/>
      </xdr:nvSpPr>
      <xdr:spPr>
        <a:xfrm>
          <a:off x="1857375" y="6000750"/>
          <a:ext cx="9144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GB" sz="1100"/>
            <a:t>TOP</a:t>
          </a:r>
        </a:p>
      </xdr:txBody>
    </xdr:sp>
    <xdr:clientData/>
  </xdr:twoCellAnchor>
  <xdr:twoCellAnchor>
    <xdr:from>
      <xdr:col>13</xdr:col>
      <xdr:colOff>504825</xdr:colOff>
      <xdr:row>0</xdr:row>
      <xdr:rowOff>38100</xdr:rowOff>
    </xdr:from>
    <xdr:to>
      <xdr:col>15</xdr:col>
      <xdr:colOff>161925</xdr:colOff>
      <xdr:row>1</xdr:row>
      <xdr:rowOff>19050</xdr:rowOff>
    </xdr:to>
    <xdr:sp macro="[0]!ThisWorkbook.sbClearCells" textlink="">
      <xdr:nvSpPr>
        <xdr:cNvPr id="7" name="Rectangle: Rounded Corners 6">
          <a:extLst>
            <a:ext uri="{FF2B5EF4-FFF2-40B4-BE49-F238E27FC236}">
              <a16:creationId xmlns:a16="http://schemas.microsoft.com/office/drawing/2014/main" id="{636B6252-E11F-48CC-87DE-70FC70818425}"/>
            </a:ext>
          </a:extLst>
        </xdr:cNvPr>
        <xdr:cNvSpPr/>
      </xdr:nvSpPr>
      <xdr:spPr>
        <a:xfrm>
          <a:off x="9572625" y="38100"/>
          <a:ext cx="1095375" cy="209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GB" sz="1100"/>
            <a:t>Clear Old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16</xdr:row>
      <xdr:rowOff>0</xdr:rowOff>
    </xdr:from>
    <xdr:to>
      <xdr:col>0</xdr:col>
      <xdr:colOff>5801535</xdr:colOff>
      <xdr:row>34</xdr:row>
      <xdr:rowOff>133847</xdr:rowOff>
    </xdr:to>
    <xdr:pic>
      <xdr:nvPicPr>
        <xdr:cNvPr id="3" name="Picture 2">
          <a:extLst>
            <a:ext uri="{FF2B5EF4-FFF2-40B4-BE49-F238E27FC236}">
              <a16:creationId xmlns:a16="http://schemas.microsoft.com/office/drawing/2014/main" id="{6736999F-032C-4859-9957-227A8E8A9B0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238500"/>
          <a:ext cx="5801535" cy="3562847"/>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C1CAF87-1D7A-4E64-BCB4-AD8199ABA2C4}" autoFormatId="16" applyNumberFormats="0" applyBorderFormats="0" applyFontFormats="0" applyPatternFormats="0" applyAlignmentFormats="0" applyWidthHeightFormats="0">
  <queryTableRefresh nextId="21" unboundColumnsLeft="2" unboundColumnsRight="1">
    <queryTableFields count="20">
      <queryTableField id="19" dataBound="0" tableColumnId="19"/>
      <queryTableField id="18" dataBound="0" tableColumnId="18"/>
      <queryTableField id="1" name="CALLS OI" tableColumnId="1"/>
      <queryTableField id="2" name="CALLS Chng in OI" tableColumnId="2"/>
      <queryTableField id="3" name="CALLS Volume" tableColumnId="3"/>
      <queryTableField id="4" name="CALLS IV" tableColumnId="4"/>
      <queryTableField id="5" name="CALLS LTP" tableColumnId="5"/>
      <queryTableField id="6" name="CALLS Net Chng" tableColumnId="6"/>
      <queryTableField id="7" name="CALLS Bid Price" tableColumnId="7"/>
      <queryTableField id="8" name="CALLS Ask Price" tableColumnId="8"/>
      <queryTableField id="9" name="Strike Price" tableColumnId="9"/>
      <queryTableField id="10" name="PUTS Bid Price" tableColumnId="10"/>
      <queryTableField id="11" name="PUTS Ask Price" tableColumnId="11"/>
      <queryTableField id="12" name="PUTS Net Chng" tableColumnId="12"/>
      <queryTableField id="13" name="PUTS LTP" tableColumnId="13"/>
      <queryTableField id="14" name="PUTS IV" tableColumnId="14"/>
      <queryTableField id="15" name="PUTS Volume" tableColumnId="15"/>
      <queryTableField id="16" name="PUTS Chng in OI" tableColumnId="16"/>
      <queryTableField id="17" name="PUTS OI" tableColumnId="17"/>
      <queryTableField id="20" dataBound="0" tableColumnId="20"/>
    </queryTableFields>
  </queryTableRefresh>
  <extLst>
    <ext xmlns:x15="http://schemas.microsoft.com/office/spreadsheetml/2010/11/main" uri="{883FBD77-0823-4a55-B5E3-86C4891E6966}">
      <x15:queryTable sourceDataName="Query - BANKNIFTY"/>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59708C70-1440-48BB-93DA-A64C04BFB70A}" autoFormatId="16" applyNumberFormats="0" applyBorderFormats="0" applyFontFormats="0" applyPatternFormats="0" applyAlignmentFormats="0" applyWidthHeightFormats="0">
  <queryTableRefresh nextId="5">
    <queryTableFields count="3">
      <queryTableField id="1" name="Kind" tableColumnId="1"/>
      <queryTableField id="2" name="Name" tableColumnId="2"/>
      <queryTableField id="3" name="Text" tableColumnId="3"/>
    </queryTableFields>
  </queryTableRefresh>
  <extLst>
    <ext xmlns:x15="http://schemas.microsoft.com/office/spreadsheetml/2010/11/main" uri="{883FBD77-0823-4a55-B5E3-86C4891E6966}">
      <x15:queryTable sourceDataName="Query - DateTime"/>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61AD86C9-EB46-4270-A974-11DC9AF1B317}" autoFormatId="16" applyNumberFormats="0" applyBorderFormats="0" applyFontFormats="0" applyPatternFormats="0" applyAlignmentFormats="0" applyWidthHeightFormats="0">
  <queryTableRefresh nextId="5">
    <queryTableFields count="3">
      <queryTableField id="1" name="Kind" tableColumnId="1"/>
      <queryTableField id="2" name="Name" tableColumnId="2"/>
      <queryTableField id="3" name="Text" tableColumnId="3"/>
    </queryTableFields>
  </queryTableRefresh>
  <extLst>
    <ext xmlns:x15="http://schemas.microsoft.com/office/spreadsheetml/2010/11/main" uri="{883FBD77-0823-4a55-B5E3-86C4891E6966}">
      <x15:queryTable sourceDataName="Query - IDXNAME"/>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CAC060-D5BF-420B-A247-137AF4BDC8C4}" name="BANKNIFTY" displayName="BANKNIFTY" ref="L1:AE103" tableType="queryTable" totalsRowShown="0">
  <autoFilter ref="L1:AE103" xr:uid="{663326E1-B5CF-4DDF-BFFC-3F3E7F582441}"/>
  <sortState xmlns:xlrd2="http://schemas.microsoft.com/office/spreadsheetml/2017/richdata2" ref="L2:AE103">
    <sortCondition ref="V2"/>
  </sortState>
  <tableColumns count="20">
    <tableColumn id="19" xr3:uid="{2AF533DF-4DFF-46B3-8F79-B746D1BDCCF3}" uniqueName="19" name="Column2" queryTableFieldId="19" dataDxfId="17">
      <calculatedColumnFormula>"CE"&amp;V2</calculatedColumnFormula>
    </tableColumn>
    <tableColumn id="18" xr3:uid="{9CE97E46-716F-4C2E-8890-F52618F54682}" uniqueName="18" name="Column1" queryTableFieldId="18" dataDxfId="16">
      <calculatedColumnFormula>"PE"&amp;V2</calculatedColumnFormula>
    </tableColumn>
    <tableColumn id="1" xr3:uid="{83E6F2D8-7084-40D2-A4C2-82E129C55C02}" uniqueName="1" name="CALLS OI" queryTableFieldId="1" dataDxfId="15"/>
    <tableColumn id="2" xr3:uid="{F1988156-6FD6-4D55-9F8A-59505A1C5935}" uniqueName="2" name="CALLS Chng in OI" queryTableFieldId="2" dataDxfId="14"/>
    <tableColumn id="3" xr3:uid="{9EDD0F46-D963-487C-A433-5BFD1F62346A}" uniqueName="3" name="CALLS Volume" queryTableFieldId="3" dataDxfId="13"/>
    <tableColumn id="4" xr3:uid="{240314F0-12EF-49F1-AEEA-350525E2E464}" uniqueName="4" name="CALLS IV" queryTableFieldId="4" dataDxfId="12"/>
    <tableColumn id="5" xr3:uid="{8CE77076-2CB8-4067-B19B-51EA89E99113}" uniqueName="5" name="CALLS LTP" queryTableFieldId="5" dataDxfId="11"/>
    <tableColumn id="6" xr3:uid="{BB70D419-E29C-4332-8264-B0A98F187234}" uniqueName="6" name="CALLS Net Chng" queryTableFieldId="6" dataDxfId="10"/>
    <tableColumn id="7" xr3:uid="{CAAE7846-62A0-4C89-B729-DB2A2EC68A52}" uniqueName="7" name="CALLS Bid Price" queryTableFieldId="7" dataDxfId="9"/>
    <tableColumn id="8" xr3:uid="{22479D8B-EDA5-438C-A9F7-9EF2ABE541AC}" uniqueName="8" name="CALLS Ask Price" queryTableFieldId="8" dataDxfId="8"/>
    <tableColumn id="9" xr3:uid="{95DBE5AA-6FF1-4780-883D-87EB69D71C62}" uniqueName="9" name="Strike Price" queryTableFieldId="9"/>
    <tableColumn id="10" xr3:uid="{167F0C4B-1BD6-472E-AEBC-6F665AFE71ED}" uniqueName="10" name="PUTS Bid Price" queryTableFieldId="10"/>
    <tableColumn id="11" xr3:uid="{6F6C00B0-0928-4E0A-95EB-500CFACC470C}" uniqueName="11" name="PUTS Ask Price" queryTableFieldId="11" dataDxfId="7"/>
    <tableColumn id="12" xr3:uid="{1B011FCF-9DC1-4BB7-BA52-FA6CCEE75FCE}" uniqueName="12" name="PUTS Net Chng" queryTableFieldId="12" dataDxfId="6"/>
    <tableColumn id="13" xr3:uid="{72898103-E3B2-4003-B3A9-A0FE0772EF18}" uniqueName="13" name="PUTS LTP" queryTableFieldId="13" dataDxfId="5"/>
    <tableColumn id="14" xr3:uid="{E49D1DC5-4BF2-4B0E-B244-53A90E0D2434}" uniqueName="14" name="PUTS IV" queryTableFieldId="14" dataDxfId="4"/>
    <tableColumn id="15" xr3:uid="{97892E62-945E-4DC6-9E4C-FB68C47D9247}" uniqueName="15" name="PUTS Volume" queryTableFieldId="15" dataDxfId="3"/>
    <tableColumn id="16" xr3:uid="{8A90355B-189C-4909-AE84-E6141D1657B6}" uniqueName="16" name="PUTS Chng in OI" queryTableFieldId="16" dataDxfId="2"/>
    <tableColumn id="17" xr3:uid="{5E2DC9DE-2858-498C-A325-62FFD5E9E5CA}" uniqueName="17" name="PUTS OI" queryTableFieldId="17" dataDxfId="1"/>
    <tableColumn id="20" xr3:uid="{C12655B3-D132-4B9E-8108-CF5DE47F5B54}" uniqueName="20" name="Column3" queryTableFieldId="20"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D2E450-2D41-4083-AB5A-F78C204F30FB}" name="DateTime" displayName="DateTime" ref="AG1:AI4" tableType="queryTable" totalsRowCount="1">
  <autoFilter ref="AG1:AI3" xr:uid="{9E546E8E-46E5-4A8F-9D88-1B5557106C00}"/>
  <tableColumns count="3">
    <tableColumn id="1" xr3:uid="{07AFE5A3-ED6C-4F4B-854A-3FAEB0552442}" uniqueName="1" name="Kind" queryTableFieldId="1"/>
    <tableColumn id="2" xr3:uid="{723B8958-9010-4810-AE74-04B990983F6F}" uniqueName="2" name="Name" totalsRowLabel="Date:" queryTableFieldId="2"/>
    <tableColumn id="3" xr3:uid="{06CDBAE3-10A5-4422-8901-5E5ECBB54F81}" uniqueName="3" name="Text" totalsRowFunction="custom" queryTableFieldId="3">
      <totalsRowFormula>MID(AI2,7,13)</totalsRow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335C05-97E3-460F-891A-EC87381005F5}" name="IDXNAME" displayName="IDXNAME" ref="AG8:AI10" tableType="queryTable" totalsRowCount="1">
  <autoFilter ref="AG8:AI9" xr:uid="{7B3011DD-4BBC-4869-B03C-3C29600E76B1}"/>
  <tableColumns count="3">
    <tableColumn id="1" xr3:uid="{7A718910-B714-472B-A5ED-E1E5A834FD34}" uniqueName="1" name="Kind" queryTableFieldId="1"/>
    <tableColumn id="2" xr3:uid="{CE00853A-F2DE-431E-8B35-54AF2705686B}" uniqueName="2" name="Name" queryTableFieldId="2"/>
    <tableColumn id="3" xr3:uid="{4F57A630-667C-4F67-AF81-5CF74EEA5FD3}" uniqueName="3" name="Text"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D108"/>
  <sheetViews>
    <sheetView tabSelected="1" topLeftCell="C1" zoomScaleNormal="100" workbookViewId="0">
      <selection activeCell="H22" sqref="H22"/>
    </sheetView>
  </sheetViews>
  <sheetFormatPr defaultRowHeight="15" x14ac:dyDescent="0.25"/>
  <cols>
    <col min="1" max="1" width="9.28515625" hidden="1" customWidth="1"/>
    <col min="2" max="2" width="14.5703125" hidden="1" customWidth="1"/>
    <col min="3" max="3" width="4" customWidth="1"/>
    <col min="4" max="4" width="14.140625" customWidth="1"/>
    <col min="7" max="7" width="10.7109375" customWidth="1"/>
    <col min="8" max="8" width="11.7109375" style="31" customWidth="1"/>
    <col min="9" max="10" width="10.7109375" customWidth="1"/>
    <col min="11" max="12" width="9.5703125" bestFit="1" customWidth="1"/>
    <col min="13" max="13" width="12.7109375" customWidth="1"/>
    <col min="14" max="14" width="10.7109375" customWidth="1"/>
    <col min="15" max="15" width="10.85546875" customWidth="1"/>
    <col min="16" max="16" width="10.42578125" customWidth="1"/>
    <col min="17" max="17" width="9.5703125" customWidth="1"/>
    <col min="18" max="18" width="11.140625" customWidth="1"/>
    <col min="20" max="20" width="15.7109375" bestFit="1" customWidth="1"/>
  </cols>
  <sheetData>
    <row r="1" spans="1:82" ht="18" customHeight="1" thickBot="1" x14ac:dyDescent="0.3">
      <c r="C1" s="16"/>
      <c r="D1" s="16"/>
      <c r="E1" s="16"/>
      <c r="F1" s="16"/>
      <c r="G1" s="16"/>
      <c r="H1" s="33"/>
      <c r="I1" s="16"/>
      <c r="J1" s="16"/>
      <c r="K1" s="16"/>
      <c r="L1" s="16"/>
      <c r="M1" s="16"/>
      <c r="N1" s="16"/>
      <c r="O1" s="16"/>
      <c r="P1" s="16"/>
      <c r="Q1" s="59" t="s">
        <v>44</v>
      </c>
      <c r="R1" s="59"/>
      <c r="S1" s="59"/>
      <c r="T1" s="45">
        <f>BNF!AI11</f>
        <v>23871.3</v>
      </c>
      <c r="U1" s="16"/>
      <c r="V1" s="16"/>
    </row>
    <row r="2" spans="1:82" ht="18" customHeight="1" thickTop="1" thickBot="1" x14ac:dyDescent="0.4">
      <c r="C2" s="16"/>
      <c r="D2" s="16"/>
      <c r="E2" s="16"/>
      <c r="F2" s="16"/>
      <c r="G2" s="16"/>
      <c r="H2" s="33"/>
      <c r="I2" s="16"/>
      <c r="J2" s="61" t="s">
        <v>55</v>
      </c>
      <c r="K2" s="61"/>
      <c r="L2" s="61"/>
      <c r="M2" s="61"/>
      <c r="N2" s="16"/>
      <c r="O2" s="16"/>
      <c r="P2" s="16"/>
      <c r="Q2" s="42" t="s">
        <v>45</v>
      </c>
      <c r="R2" s="43" t="str">
        <f>BNF!AI4</f>
        <v xml:space="preserve">Oct 15, 2020 </v>
      </c>
      <c r="S2" s="42" t="s">
        <v>52</v>
      </c>
      <c r="T2" s="44"/>
      <c r="U2" s="16"/>
      <c r="V2" s="16"/>
    </row>
    <row r="3" spans="1:82" ht="17.25" thickTop="1" thickBot="1" x14ac:dyDescent="0.3">
      <c r="C3" s="16"/>
      <c r="D3" s="19"/>
      <c r="E3" s="16"/>
      <c r="F3" s="16"/>
      <c r="G3" s="16"/>
      <c r="H3" s="33"/>
      <c r="I3" s="16"/>
      <c r="J3" s="16"/>
      <c r="K3" s="16"/>
      <c r="L3" s="16"/>
      <c r="M3" s="16"/>
      <c r="N3" s="16"/>
      <c r="O3" s="16"/>
      <c r="P3" s="16"/>
      <c r="Q3" s="42" t="s">
        <v>46</v>
      </c>
      <c r="R3" t="str">
        <f>BNF!AI5</f>
        <v>10:45</v>
      </c>
      <c r="S3" s="42" t="s">
        <v>34</v>
      </c>
      <c r="T3" s="45">
        <f>BNF!G24</f>
        <v>23900</v>
      </c>
      <c r="U3" s="16"/>
      <c r="V3" s="16"/>
    </row>
    <row r="4" spans="1:82" ht="5.25" customHeight="1" thickTop="1" x14ac:dyDescent="0.25">
      <c r="C4" s="16"/>
      <c r="D4" s="16"/>
      <c r="E4" s="16"/>
      <c r="F4" s="16"/>
      <c r="G4" s="16"/>
      <c r="H4" s="33"/>
      <c r="I4" s="16"/>
      <c r="J4" s="16"/>
      <c r="K4" s="16"/>
      <c r="L4" s="16"/>
      <c r="M4" s="16"/>
      <c r="N4" s="16"/>
      <c r="O4" s="16"/>
      <c r="P4" s="16"/>
      <c r="Q4" s="16"/>
      <c r="R4" s="16"/>
      <c r="S4" s="16"/>
      <c r="T4" s="16"/>
      <c r="U4" s="16"/>
      <c r="V4" s="16"/>
    </row>
    <row r="5" spans="1:82" x14ac:dyDescent="0.25">
      <c r="C5" s="16"/>
      <c r="D5" s="62" t="s">
        <v>0</v>
      </c>
      <c r="E5" s="63"/>
      <c r="F5" s="63"/>
      <c r="G5" s="63"/>
      <c r="H5" s="63"/>
      <c r="I5" s="64"/>
      <c r="J5" s="64"/>
      <c r="K5" s="65"/>
      <c r="L5" s="17"/>
      <c r="M5" s="66" t="s">
        <v>1</v>
      </c>
      <c r="N5" s="67"/>
      <c r="O5" s="67"/>
      <c r="P5" s="68"/>
      <c r="Q5" s="68"/>
      <c r="R5" s="68"/>
      <c r="S5" s="68"/>
      <c r="T5" s="69"/>
      <c r="U5" s="16"/>
      <c r="V5" s="16"/>
    </row>
    <row r="6" spans="1:82" s="2" customFormat="1" ht="30" x14ac:dyDescent="0.25">
      <c r="C6" s="18"/>
      <c r="D6" s="12" t="s">
        <v>7</v>
      </c>
      <c r="E6" s="13" t="s">
        <v>6</v>
      </c>
      <c r="F6" s="13" t="s">
        <v>50</v>
      </c>
      <c r="G6" s="13" t="s">
        <v>2</v>
      </c>
      <c r="H6" s="34" t="s">
        <v>8</v>
      </c>
      <c r="I6" s="14" t="s">
        <v>49</v>
      </c>
      <c r="J6" s="13" t="s">
        <v>9</v>
      </c>
      <c r="K6" s="13" t="s">
        <v>3</v>
      </c>
      <c r="L6" s="4" t="s">
        <v>4</v>
      </c>
      <c r="M6" s="13" t="str">
        <f>K6</f>
        <v>LTP</v>
      </c>
      <c r="N6" s="13" t="str">
        <f>J6</f>
        <v>Net change</v>
      </c>
      <c r="O6" s="14" t="str">
        <f>I6</f>
        <v>OI Change</v>
      </c>
      <c r="P6" s="13" t="str">
        <f>H6</f>
        <v>Net OI</v>
      </c>
      <c r="Q6" s="13" t="str">
        <f>G6</f>
        <v>Volume</v>
      </c>
      <c r="R6" s="13" t="str">
        <f>F6</f>
        <v>Price change</v>
      </c>
      <c r="S6" s="13" t="str">
        <f>E6</f>
        <v>OI change</v>
      </c>
      <c r="T6" s="15" t="str">
        <f>D6</f>
        <v>Interpretation</v>
      </c>
      <c r="U6" s="18"/>
      <c r="V6" s="18"/>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row>
    <row r="7" spans="1:82" x14ac:dyDescent="0.25">
      <c r="A7" t="str">
        <f>"CE"&amp;L7</f>
        <v>CE22900</v>
      </c>
      <c r="B7" t="str">
        <f>"PE"&amp;L7</f>
        <v>PE22900</v>
      </c>
      <c r="C7" s="16"/>
      <c r="D7" s="6" t="str">
        <f>IF(AND(J7&lt;0,I7&lt;0),"Long Liquidation",IF(AND(J7&lt;0,I7&gt;0),"Short Buildup",IF(AND(J7&gt;0,I7&gt;0),"Long Buildup",IF(AND(J7&gt;0,I7&lt;0),"Short covering"))))</f>
        <v>Long Liquidation</v>
      </c>
      <c r="E7" s="5" t="str">
        <f>IF(I7&gt;0,"UP","DOWN")</f>
        <v>DOWN</v>
      </c>
      <c r="F7" s="3" t="str">
        <f>IF(J7&gt;0,"UP","DOWN")</f>
        <v>DOWN</v>
      </c>
      <c r="G7" s="49">
        <f>IFERROR(VALUE(VLOOKUP(A7,BNF!L$2:T$184,5,0)),0)</f>
        <v>381</v>
      </c>
      <c r="H7" s="50">
        <f>IFERROR(VALUE(VLOOKUP(A7,BNF!L$2:U$184,3,0)),)</f>
        <v>8325</v>
      </c>
      <c r="I7" s="51">
        <f>IFERROR(VALUE(VLOOKUP(A7,BNF!L$2:T$184,4,0)),0)</f>
        <v>-2825</v>
      </c>
      <c r="J7" s="40">
        <f>IFERROR(VALUE(VLOOKUP(A7,BNF!L$2:T$184,8,0)),0)</f>
        <v>-34.950000000000003</v>
      </c>
      <c r="K7" s="52">
        <f>VALUE(VLOOKUP(A7,BNF!L$2:T$184,7,0))</f>
        <v>996.45</v>
      </c>
      <c r="L7" s="53">
        <f>L17-1000</f>
        <v>22900</v>
      </c>
      <c r="M7" s="52">
        <f>VALUE(VLOOKUP(B7,BNF!M$2:AI$200,14,0))</f>
        <v>2.4500000000000002</v>
      </c>
      <c r="N7" s="40">
        <f>IFERROR(VALUE(VLOOKUP(B7,BNF!M$2:AI$200,13,0)),0)</f>
        <v>-16.3</v>
      </c>
      <c r="O7" s="51">
        <f>IFERROR(VALUE(VLOOKUP(B7,BNF!M$2:AI$200,17,0)),0)</f>
        <v>248050</v>
      </c>
      <c r="P7" s="49">
        <f>IFERROR(VALUE(VLOOKUP(B7,BNF!M$2:AI$200,18,0)),0)</f>
        <v>567000</v>
      </c>
      <c r="Q7" s="49">
        <f>IFERROR(VALUE(VLOOKUP(B7,BNF!M$2:AI$200,16,0)),0)</f>
        <v>111873</v>
      </c>
      <c r="R7" s="3" t="str">
        <f>IF(N7&gt;0,"UP","DOWN")</f>
        <v>DOWN</v>
      </c>
      <c r="S7" s="8" t="str">
        <f>IF(O7&gt;0,"UP","DOWN")</f>
        <v>UP</v>
      </c>
      <c r="T7" s="9" t="str">
        <f>IF(AND(N7&lt;0,O7&lt;0),"Long Liquidation",IF(AND(N7&lt;0,O7&gt;0),"Short Buildup",IF(AND(N7&gt;0,O7&gt;0),"Long Buildup",IF(AND(N7&gt;0,O7&lt;0),"Short covering"))))</f>
        <v>Short Buildup</v>
      </c>
      <c r="U7" s="16"/>
      <c r="V7" s="16"/>
    </row>
    <row r="8" spans="1:82" x14ac:dyDescent="0.25">
      <c r="A8" t="str">
        <f>"CE"&amp;L8</f>
        <v>CE23000</v>
      </c>
      <c r="B8" t="str">
        <f t="shared" ref="B8:B20" si="0">"PE"&amp;L8</f>
        <v>PE23000</v>
      </c>
      <c r="C8" s="16"/>
      <c r="D8" s="6" t="str">
        <f>IF(AND(J8&lt;0,I8&lt;0),"Long Liquidation",IF(AND(J8&lt;0,I8&gt;0),"Short Buildup",IF(AND(J8&gt;0,I8&gt;0),"Long Buildup",IF(AND(J8&gt;0,I8&lt;0),"Short covering"))))</f>
        <v>Long Liquidation</v>
      </c>
      <c r="E8" s="5" t="str">
        <f t="shared" ref="E8:E27" si="1">IF(I8&gt;0,"UP","DOWN")</f>
        <v>DOWN</v>
      </c>
      <c r="F8" s="3" t="str">
        <f t="shared" ref="F8:F27" si="2">IF(J8&gt;0,"UP","DOWN")</f>
        <v>DOWN</v>
      </c>
      <c r="G8" s="49">
        <f>IFERROR(VALUE(VLOOKUP(A8,BNF!L$2:T$184,5,0)),0)</f>
        <v>6587</v>
      </c>
      <c r="H8" s="50">
        <f>IFERROR(VALUE(VLOOKUP(A8,BNF!L$2:U$184,3,0)),)</f>
        <v>109850</v>
      </c>
      <c r="I8" s="51">
        <f>IFERROR(VALUE(VLOOKUP(A8,BNF!L$2:T$184,4,0)),0)</f>
        <v>-14775</v>
      </c>
      <c r="J8" s="40">
        <f>IFERROR(VALUE(VLOOKUP(A8,BNF!L$2:T$184,8,0)),0)</f>
        <v>-21.55</v>
      </c>
      <c r="K8" s="52">
        <f>VALUE(VLOOKUP(A8,BNF!L$2:T$184,7,0))</f>
        <v>912.95</v>
      </c>
      <c r="L8" s="53">
        <f>L17-900</f>
        <v>23000</v>
      </c>
      <c r="M8" s="52">
        <f>VALUE(VLOOKUP(B8,BNF!M$2:AI$200,14,0))</f>
        <v>3.05</v>
      </c>
      <c r="N8" s="40">
        <f>IFERROR(VALUE(VLOOKUP(B8,BNF!M$2:AI$200,13,0)),0)</f>
        <v>-19.5</v>
      </c>
      <c r="O8" s="51">
        <f>IFERROR(VALUE(VLOOKUP(B8,BNF!M$2:AI$200,17,0)),0)</f>
        <v>1027100</v>
      </c>
      <c r="P8" s="49">
        <f>IFERROR(VALUE(VLOOKUP(B8,BNF!M$2:AI$200,18,0)),0)</f>
        <v>2022475</v>
      </c>
      <c r="Q8" s="49">
        <f>IFERROR(VALUE(VLOOKUP(B8,BNF!M$2:AI$200,16,0)),0)</f>
        <v>310890</v>
      </c>
      <c r="R8" s="3" t="str">
        <f t="shared" ref="R8:R27" si="3">IF(N8&gt;0,"UP","DOWN")</f>
        <v>DOWN</v>
      </c>
      <c r="S8" s="8" t="str">
        <f t="shared" ref="S8:S27" si="4">IF(O8&gt;0,"UP","DOWN")</f>
        <v>UP</v>
      </c>
      <c r="T8" s="9" t="str">
        <f t="shared" ref="T8:T27" si="5">IF(AND(N8&lt;0,O8&lt;0),"Long Liquidation",IF(AND(N8&lt;0,O8&gt;0),"Short Buildup",IF(AND(N8&gt;0,O8&gt;0),"Long Buildup",IF(AND(N8&gt;0,O8&lt;0),"Short covering"))))</f>
        <v>Short Buildup</v>
      </c>
      <c r="U8" s="16"/>
      <c r="V8" s="16"/>
    </row>
    <row r="9" spans="1:82" x14ac:dyDescent="0.25">
      <c r="A9" t="str">
        <f t="shared" ref="A9:A20" si="6">"CE"&amp;L9</f>
        <v>CE23100</v>
      </c>
      <c r="B9" t="str">
        <f t="shared" si="0"/>
        <v>PE23100</v>
      </c>
      <c r="C9" s="16"/>
      <c r="D9" s="6" t="str">
        <f t="shared" ref="D9:D17" si="7">IF(AND(J9&lt;0,I9&lt;0),"Long Liquidation",IF(AND(J9&lt;0,I9&gt;0),"Short Buildup",IF(AND(J9&gt;0,I9&gt;0),"Long Buildup",IF(AND(J9&gt;0,I9&lt;0),"Short covering"))))</f>
        <v>Long Liquidation</v>
      </c>
      <c r="E9" s="5" t="str">
        <f t="shared" si="1"/>
        <v>DOWN</v>
      </c>
      <c r="F9" s="3" t="str">
        <f t="shared" si="2"/>
        <v>DOWN</v>
      </c>
      <c r="G9" s="49">
        <f>IFERROR(VALUE(VLOOKUP(A9,BNF!L$2:T$184,5,0)),0)</f>
        <v>1201</v>
      </c>
      <c r="H9" s="50">
        <f>IFERROR(VALUE(VLOOKUP(A9,BNF!L$2:U$184,3,0)),)</f>
        <v>19725</v>
      </c>
      <c r="I9" s="51">
        <f>IFERROR(VALUE(VLOOKUP(A9,BNF!L$2:T$184,4,0)),0)</f>
        <v>-6050</v>
      </c>
      <c r="J9" s="40">
        <f>IFERROR(VALUE(VLOOKUP(A9,BNF!L$2:T$184,8,0)),0)</f>
        <v>-34.85</v>
      </c>
      <c r="K9" s="52">
        <f>VALUE(VLOOKUP(A9,BNF!L$2:T$184,7,0))</f>
        <v>800.3</v>
      </c>
      <c r="L9" s="53">
        <f>L17-800</f>
        <v>23100</v>
      </c>
      <c r="M9" s="52">
        <f>VALUE(VLOOKUP(B9,BNF!M$2:AI$200,14,0))</f>
        <v>3.8</v>
      </c>
      <c r="N9" s="40">
        <f>IFERROR(VALUE(VLOOKUP(B9,BNF!M$2:AI$200,13,0)),0)</f>
        <v>-23.6</v>
      </c>
      <c r="O9" s="51">
        <f>IFERROR(VALUE(VLOOKUP(B9,BNF!M$2:AI$200,17,0)),0)</f>
        <v>455600</v>
      </c>
      <c r="P9" s="49">
        <f>IFERROR(VALUE(VLOOKUP(B9,BNF!M$2:AI$200,18,0)),0)</f>
        <v>754025</v>
      </c>
      <c r="Q9" s="49">
        <f>IFERROR(VALUE(VLOOKUP(B9,BNF!M$2:AI$200,16,0)),0)</f>
        <v>188839</v>
      </c>
      <c r="R9" s="3" t="str">
        <f t="shared" ref="R9:R16" si="8">IF(N9&gt;0,"UP","DOWN")</f>
        <v>DOWN</v>
      </c>
      <c r="S9" s="8" t="str">
        <f t="shared" ref="S9:S16" si="9">IF(O9&gt;0,"UP","DOWN")</f>
        <v>UP</v>
      </c>
      <c r="T9" s="9" t="str">
        <f t="shared" ref="T9:T16" si="10">IF(AND(N9&lt;0,O9&lt;0),"Long Liquidation",IF(AND(N9&lt;0,O9&gt;0),"Short Buildup",IF(AND(N9&gt;0,O9&gt;0),"Long Buildup",IF(AND(N9&gt;0,O9&lt;0),"Short covering"))))</f>
        <v>Short Buildup</v>
      </c>
      <c r="U9" s="16"/>
      <c r="V9" s="16"/>
    </row>
    <row r="10" spans="1:82" x14ac:dyDescent="0.25">
      <c r="A10" t="str">
        <f t="shared" si="6"/>
        <v>CE23200</v>
      </c>
      <c r="B10" t="str">
        <f t="shared" si="0"/>
        <v>PE23200</v>
      </c>
      <c r="C10" s="16"/>
      <c r="D10" s="6" t="str">
        <f t="shared" si="7"/>
        <v>Long Liquidation</v>
      </c>
      <c r="E10" s="5" t="str">
        <f t="shared" si="1"/>
        <v>DOWN</v>
      </c>
      <c r="F10" s="3" t="str">
        <f t="shared" si="2"/>
        <v>DOWN</v>
      </c>
      <c r="G10" s="49">
        <f>IFERROR(VALUE(VLOOKUP(A10,BNF!L$2:T$184,5,0)),0)</f>
        <v>5272</v>
      </c>
      <c r="H10" s="50">
        <f>IFERROR(VALUE(VLOOKUP(A10,BNF!L$2:U$184,3,0)),)</f>
        <v>61875</v>
      </c>
      <c r="I10" s="51">
        <f>IFERROR(VALUE(VLOOKUP(A10,BNF!L$2:T$184,4,0)),0)</f>
        <v>-19950</v>
      </c>
      <c r="J10" s="40">
        <f>IFERROR(VALUE(VLOOKUP(A10,BNF!L$2:T$184,8,0)),0)</f>
        <v>-30.15</v>
      </c>
      <c r="K10" s="52">
        <f>VALUE(VLOOKUP(A10,BNF!L$2:T$184,7,0))</f>
        <v>715.25</v>
      </c>
      <c r="L10" s="53">
        <f>L17-700</f>
        <v>23200</v>
      </c>
      <c r="M10" s="52">
        <f>VALUE(VLOOKUP(B10,BNF!M$2:AI$200,14,0))</f>
        <v>4.8</v>
      </c>
      <c r="N10" s="40">
        <f>IFERROR(VALUE(VLOOKUP(B10,BNF!M$2:AI$200,13,0)),0)</f>
        <v>-28.9</v>
      </c>
      <c r="O10" s="51">
        <f>IFERROR(VALUE(VLOOKUP(B10,BNF!M$2:AI$200,17,0)),0)</f>
        <v>488275</v>
      </c>
      <c r="P10" s="49">
        <f>IFERROR(VALUE(VLOOKUP(B10,BNF!M$2:AI$200,18,0)),0)</f>
        <v>985300</v>
      </c>
      <c r="Q10" s="49">
        <f>IFERROR(VALUE(VLOOKUP(B10,BNF!M$2:AI$200,16,0)),0)</f>
        <v>310855</v>
      </c>
      <c r="R10" s="3" t="str">
        <f t="shared" si="8"/>
        <v>DOWN</v>
      </c>
      <c r="S10" s="8" t="str">
        <f t="shared" si="9"/>
        <v>UP</v>
      </c>
      <c r="T10" s="9" t="str">
        <f t="shared" si="10"/>
        <v>Short Buildup</v>
      </c>
      <c r="U10" s="16"/>
      <c r="V10" s="16"/>
    </row>
    <row r="11" spans="1:82" x14ac:dyDescent="0.25">
      <c r="A11" t="str">
        <f t="shared" si="6"/>
        <v>CE23300</v>
      </c>
      <c r="B11" t="str">
        <f t="shared" si="0"/>
        <v>PE23300</v>
      </c>
      <c r="C11" s="16"/>
      <c r="D11" s="6" t="str">
        <f t="shared" si="7"/>
        <v>Long Liquidation</v>
      </c>
      <c r="E11" s="5" t="str">
        <f t="shared" si="1"/>
        <v>DOWN</v>
      </c>
      <c r="F11" s="3" t="str">
        <f t="shared" si="2"/>
        <v>DOWN</v>
      </c>
      <c r="G11" s="49">
        <f>IFERROR(VALUE(VLOOKUP(A11,BNF!L$2:T$184,5,0)),0)</f>
        <v>9672</v>
      </c>
      <c r="H11" s="50">
        <f>IFERROR(VALUE(VLOOKUP(A11,BNF!L$2:U$184,3,0)),)</f>
        <v>80325</v>
      </c>
      <c r="I11" s="51">
        <f>IFERROR(VALUE(VLOOKUP(A11,BNF!L$2:T$184,4,0)),0)</f>
        <v>-11250</v>
      </c>
      <c r="J11" s="40">
        <f>IFERROR(VALUE(VLOOKUP(A11,BNF!L$2:T$184,8,0)),0)</f>
        <v>-38.9</v>
      </c>
      <c r="K11" s="52">
        <f>VALUE(VLOOKUP(A11,BNF!L$2:T$184,7,0))</f>
        <v>616</v>
      </c>
      <c r="L11" s="53">
        <f>L17-600</f>
        <v>23300</v>
      </c>
      <c r="M11" s="52">
        <f>VALUE(VLOOKUP(B11,BNF!M$2:AI$200,14,0))</f>
        <v>6.65</v>
      </c>
      <c r="N11" s="40">
        <f>IFERROR(VALUE(VLOOKUP(B11,BNF!M$2:AI$200,13,0)),0)</f>
        <v>-35.25</v>
      </c>
      <c r="O11" s="51">
        <f>IFERROR(VALUE(VLOOKUP(B11,BNF!M$2:AI$200,17,0)),0)</f>
        <v>514050</v>
      </c>
      <c r="P11" s="49">
        <f>IFERROR(VALUE(VLOOKUP(B11,BNF!M$2:AI$200,18,0)),0)</f>
        <v>906100</v>
      </c>
      <c r="Q11" s="49">
        <f>IFERROR(VALUE(VLOOKUP(B11,BNF!M$2:AI$200,16,0)),0)</f>
        <v>401532</v>
      </c>
      <c r="R11" s="3" t="str">
        <f t="shared" si="8"/>
        <v>DOWN</v>
      </c>
      <c r="S11" s="8" t="str">
        <f t="shared" si="9"/>
        <v>UP</v>
      </c>
      <c r="T11" s="9" t="str">
        <f t="shared" si="10"/>
        <v>Short Buildup</v>
      </c>
      <c r="U11" s="16"/>
      <c r="V11" s="16"/>
    </row>
    <row r="12" spans="1:82" x14ac:dyDescent="0.25">
      <c r="A12" t="str">
        <f t="shared" si="6"/>
        <v>CE23400</v>
      </c>
      <c r="B12" t="str">
        <f t="shared" si="0"/>
        <v>PE23400</v>
      </c>
      <c r="C12" s="16"/>
      <c r="D12" s="6" t="str">
        <f t="shared" si="7"/>
        <v>Short Buildup</v>
      </c>
      <c r="E12" s="5" t="str">
        <f t="shared" si="1"/>
        <v>UP</v>
      </c>
      <c r="F12" s="3" t="str">
        <f t="shared" si="2"/>
        <v>DOWN</v>
      </c>
      <c r="G12" s="49">
        <f>IFERROR(VALUE(VLOOKUP(A12,BNF!L$2:T$184,5,0)),0)</f>
        <v>17807</v>
      </c>
      <c r="H12" s="50">
        <f>IFERROR(VALUE(VLOOKUP(A12,BNF!L$2:U$184,3,0)),)</f>
        <v>74250</v>
      </c>
      <c r="I12" s="51">
        <f>IFERROR(VALUE(VLOOKUP(A12,BNF!L$2:T$184,4,0)),0)</f>
        <v>3100</v>
      </c>
      <c r="J12" s="40">
        <f>IFERROR(VALUE(VLOOKUP(A12,BNF!L$2:T$184,8,0)),0)</f>
        <v>-44.8</v>
      </c>
      <c r="K12" s="52">
        <f>VALUE(VLOOKUP(A12,BNF!L$2:T$184,7,0))</f>
        <v>518.9</v>
      </c>
      <c r="L12" s="53">
        <f>L17-500</f>
        <v>23400</v>
      </c>
      <c r="M12" s="52">
        <f>VALUE(VLOOKUP(B12,BNF!M$2:AI$200,14,0))</f>
        <v>9.6</v>
      </c>
      <c r="N12" s="40">
        <f>IFERROR(VALUE(VLOOKUP(B12,BNF!M$2:AI$200,13,0)),0)</f>
        <v>-44</v>
      </c>
      <c r="O12" s="51">
        <f>IFERROR(VALUE(VLOOKUP(B12,BNF!M$2:AI$200,17,0)),0)</f>
        <v>667025</v>
      </c>
      <c r="P12" s="49">
        <f>IFERROR(VALUE(VLOOKUP(B12,BNF!M$2:AI$200,18,0)),0)</f>
        <v>953200</v>
      </c>
      <c r="Q12" s="49">
        <f>IFERROR(VALUE(VLOOKUP(B12,BNF!M$2:AI$200,16,0)),0)</f>
        <v>497481</v>
      </c>
      <c r="R12" s="3" t="str">
        <f t="shared" si="8"/>
        <v>DOWN</v>
      </c>
      <c r="S12" s="8" t="str">
        <f t="shared" si="9"/>
        <v>UP</v>
      </c>
      <c r="T12" s="9" t="str">
        <f t="shared" si="10"/>
        <v>Short Buildup</v>
      </c>
      <c r="U12" s="16"/>
      <c r="V12" s="16"/>
    </row>
    <row r="13" spans="1:82" x14ac:dyDescent="0.25">
      <c r="A13" t="str">
        <f t="shared" si="6"/>
        <v>CE23500</v>
      </c>
      <c r="B13" t="str">
        <f t="shared" si="0"/>
        <v>PE23500</v>
      </c>
      <c r="C13" s="16"/>
      <c r="D13" s="6" t="str">
        <f t="shared" si="7"/>
        <v>Long Liquidation</v>
      </c>
      <c r="E13" s="5" t="str">
        <f t="shared" si="1"/>
        <v>DOWN</v>
      </c>
      <c r="F13" s="3" t="str">
        <f t="shared" si="2"/>
        <v>DOWN</v>
      </c>
      <c r="G13" s="49">
        <f>IFERROR(VALUE(VLOOKUP(A13,BNF!L$2:T$184,5,0)),0)</f>
        <v>96562</v>
      </c>
      <c r="H13" s="50">
        <f>IFERROR(VALUE(VLOOKUP(A13,BNF!L$2:U$184,3,0)),)</f>
        <v>384225</v>
      </c>
      <c r="I13" s="51">
        <f>IFERROR(VALUE(VLOOKUP(A13,BNF!L$2:T$184,4,0)),0)</f>
        <v>-92875</v>
      </c>
      <c r="J13" s="40">
        <f>IFERROR(VALUE(VLOOKUP(A13,BNF!L$2:T$184,8,0)),0)</f>
        <v>-47.85</v>
      </c>
      <c r="K13" s="52">
        <f>VALUE(VLOOKUP(A13,BNF!L$2:T$184,7,0))</f>
        <v>428.55</v>
      </c>
      <c r="L13" s="53">
        <f>L17-400</f>
        <v>23500</v>
      </c>
      <c r="M13" s="52">
        <f>VALUE(VLOOKUP(B13,BNF!M$2:AI$200,14,0))</f>
        <v>14.75</v>
      </c>
      <c r="N13" s="40">
        <f>IFERROR(VALUE(VLOOKUP(B13,BNF!M$2:AI$200,13,0)),0)</f>
        <v>-54.65</v>
      </c>
      <c r="O13" s="51">
        <f>IFERROR(VALUE(VLOOKUP(B13,BNF!M$2:AI$200,17,0)),0)</f>
        <v>1143525</v>
      </c>
      <c r="P13" s="49">
        <f>IFERROR(VALUE(VLOOKUP(B13,BNF!M$2:AI$200,18,0)),0)</f>
        <v>1900075</v>
      </c>
      <c r="Q13" s="49">
        <f>IFERROR(VALUE(VLOOKUP(B13,BNF!M$2:AI$200,16,0)),0)</f>
        <v>755781</v>
      </c>
      <c r="R13" s="3" t="str">
        <f t="shared" si="8"/>
        <v>DOWN</v>
      </c>
      <c r="S13" s="8" t="str">
        <f t="shared" si="9"/>
        <v>UP</v>
      </c>
      <c r="T13" s="9" t="str">
        <f t="shared" si="10"/>
        <v>Short Buildup</v>
      </c>
      <c r="U13" s="16"/>
      <c r="V13" s="16"/>
    </row>
    <row r="14" spans="1:82" x14ac:dyDescent="0.25">
      <c r="A14" t="str">
        <f t="shared" si="6"/>
        <v>CE23600</v>
      </c>
      <c r="B14" t="str">
        <f t="shared" si="0"/>
        <v>PE23600</v>
      </c>
      <c r="C14" s="16"/>
      <c r="D14" s="6" t="str">
        <f t="shared" si="7"/>
        <v>Long Liquidation</v>
      </c>
      <c r="E14" s="5" t="str">
        <f t="shared" si="1"/>
        <v>DOWN</v>
      </c>
      <c r="F14" s="3" t="str">
        <f t="shared" si="2"/>
        <v>DOWN</v>
      </c>
      <c r="G14" s="49">
        <f>IFERROR(VALUE(VLOOKUP(A14,BNF!L$2:T$184,5,0)),0)</f>
        <v>101460</v>
      </c>
      <c r="H14" s="50">
        <f>IFERROR(VALUE(VLOOKUP(A14,BNF!L$2:U$184,3,0)),)</f>
        <v>114150</v>
      </c>
      <c r="I14" s="51">
        <f>IFERROR(VALUE(VLOOKUP(A14,BNF!L$2:T$184,4,0)),0)</f>
        <v>-43150</v>
      </c>
      <c r="J14" s="40">
        <f>IFERROR(VALUE(VLOOKUP(A14,BNF!L$2:T$184,8,0)),0)</f>
        <v>-61.7</v>
      </c>
      <c r="K14" s="52">
        <f>VALUE(VLOOKUP(A14,BNF!L$2:T$184,7,0))</f>
        <v>335</v>
      </c>
      <c r="L14" s="53">
        <f>L17-300</f>
        <v>23600</v>
      </c>
      <c r="M14" s="52">
        <f>VALUE(VLOOKUP(B14,BNF!M$2:AI$200,14,0))</f>
        <v>22.95</v>
      </c>
      <c r="N14" s="40">
        <f>IFERROR(VALUE(VLOOKUP(B14,BNF!M$2:AI$200,13,0)),0)</f>
        <v>-68.849999999999994</v>
      </c>
      <c r="O14" s="51">
        <f>IFERROR(VALUE(VLOOKUP(B14,BNF!M$2:AI$200,17,0)),0)</f>
        <v>803375</v>
      </c>
      <c r="P14" s="49">
        <f>IFERROR(VALUE(VLOOKUP(B14,BNF!M$2:AI$200,18,0)),0)</f>
        <v>1047175</v>
      </c>
      <c r="Q14" s="49">
        <f>IFERROR(VALUE(VLOOKUP(B14,BNF!M$2:AI$200,16,0)),0)</f>
        <v>671347</v>
      </c>
      <c r="R14" s="3" t="str">
        <f t="shared" si="8"/>
        <v>DOWN</v>
      </c>
      <c r="S14" s="8" t="str">
        <f t="shared" si="9"/>
        <v>UP</v>
      </c>
      <c r="T14" s="9" t="str">
        <f t="shared" si="10"/>
        <v>Short Buildup</v>
      </c>
      <c r="U14" s="16"/>
      <c r="V14" s="16"/>
    </row>
    <row r="15" spans="1:82" x14ac:dyDescent="0.25">
      <c r="A15" t="str">
        <f t="shared" si="6"/>
        <v>CE23700</v>
      </c>
      <c r="B15" t="str">
        <f t="shared" si="0"/>
        <v>PE23700</v>
      </c>
      <c r="C15" s="16"/>
      <c r="D15" s="6" t="str">
        <f t="shared" si="7"/>
        <v>Short Buildup</v>
      </c>
      <c r="E15" s="5" t="str">
        <f t="shared" si="1"/>
        <v>UP</v>
      </c>
      <c r="F15" s="3" t="str">
        <f t="shared" si="2"/>
        <v>DOWN</v>
      </c>
      <c r="G15" s="49">
        <f>IFERROR(VALUE(VLOOKUP(A15,BNF!L$2:T$184,5,0)),0)</f>
        <v>251612</v>
      </c>
      <c r="H15" s="50">
        <f>IFERROR(VALUE(VLOOKUP(A15,BNF!L$2:U$184,3,0)),)</f>
        <v>272250</v>
      </c>
      <c r="I15" s="51">
        <f>IFERROR(VALUE(VLOOKUP(A15,BNF!L$2:T$184,4,0)),0)</f>
        <v>96150</v>
      </c>
      <c r="J15" s="40">
        <f>IFERROR(VALUE(VLOOKUP(A15,BNF!L$2:T$184,8,0)),0)</f>
        <v>-77.2</v>
      </c>
      <c r="K15" s="52">
        <f>VALUE(VLOOKUP(A15,BNF!L$2:T$184,7,0))</f>
        <v>250</v>
      </c>
      <c r="L15" s="53">
        <f>L17-200</f>
        <v>23700</v>
      </c>
      <c r="M15" s="52">
        <f>VALUE(VLOOKUP(B15,BNF!M$2:AI$200,14,0))</f>
        <v>38.1</v>
      </c>
      <c r="N15" s="40">
        <f>IFERROR(VALUE(VLOOKUP(B15,BNF!M$2:AI$200,13,0)),0)</f>
        <v>-81.75</v>
      </c>
      <c r="O15" s="51">
        <f>IFERROR(VALUE(VLOOKUP(B15,BNF!M$2:AI$200,17,0)),0)</f>
        <v>1090525</v>
      </c>
      <c r="P15" s="49">
        <f>IFERROR(VALUE(VLOOKUP(B15,BNF!M$2:AI$200,18,0)),0)</f>
        <v>1288475</v>
      </c>
      <c r="Q15" s="49">
        <f>IFERROR(VALUE(VLOOKUP(B15,BNF!M$2:AI$200,16,0)),0)</f>
        <v>683461</v>
      </c>
      <c r="R15" s="3" t="str">
        <f t="shared" si="8"/>
        <v>DOWN</v>
      </c>
      <c r="S15" s="8" t="str">
        <f t="shared" si="9"/>
        <v>UP</v>
      </c>
      <c r="T15" s="9" t="str">
        <f t="shared" si="10"/>
        <v>Short Buildup</v>
      </c>
      <c r="U15" s="16"/>
      <c r="V15" s="16"/>
    </row>
    <row r="16" spans="1:82" x14ac:dyDescent="0.25">
      <c r="A16" t="str">
        <f t="shared" si="6"/>
        <v>CE23800</v>
      </c>
      <c r="B16" t="str">
        <f t="shared" si="0"/>
        <v>PE23800</v>
      </c>
      <c r="C16" s="16"/>
      <c r="D16" s="6" t="str">
        <f t="shared" si="7"/>
        <v>Short Buildup</v>
      </c>
      <c r="E16" s="5" t="str">
        <f t="shared" si="1"/>
        <v>UP</v>
      </c>
      <c r="F16" s="3" t="str">
        <f t="shared" si="2"/>
        <v>DOWN</v>
      </c>
      <c r="G16" s="49">
        <f>IFERROR(VALUE(VLOOKUP(A16,BNF!L$2:T$184,5,0)),0)</f>
        <v>472239</v>
      </c>
      <c r="H16" s="50">
        <f>IFERROR(VALUE(VLOOKUP(A16,BNF!L$2:U$184,3,0)),)</f>
        <v>607025</v>
      </c>
      <c r="I16" s="51">
        <f>IFERROR(VALUE(VLOOKUP(A16,BNF!L$2:T$184,4,0)),0)</f>
        <v>120525</v>
      </c>
      <c r="J16" s="40">
        <f>IFERROR(VALUE(VLOOKUP(A16,BNF!L$2:T$184,8,0)),0)</f>
        <v>-87.95</v>
      </c>
      <c r="K16" s="52">
        <f>VALUE(VLOOKUP(A16,BNF!L$2:T$184,7,0))</f>
        <v>177</v>
      </c>
      <c r="L16" s="53">
        <f>L17-100</f>
        <v>23800</v>
      </c>
      <c r="M16" s="52">
        <f>VALUE(VLOOKUP(B16,BNF!M$2:AI$200,14,0))</f>
        <v>64</v>
      </c>
      <c r="N16" s="40">
        <f>IFERROR(VALUE(VLOOKUP(B16,BNF!M$2:AI$200,13,0)),0)</f>
        <v>-93.3</v>
      </c>
      <c r="O16" s="51">
        <f>IFERROR(VALUE(VLOOKUP(B16,BNF!M$2:AI$200,17,0)),0)</f>
        <v>676100</v>
      </c>
      <c r="P16" s="49">
        <f>IFERROR(VALUE(VLOOKUP(B16,BNF!M$2:AI$200,18,0)),0)</f>
        <v>966500</v>
      </c>
      <c r="Q16" s="49">
        <f>IFERROR(VALUE(VLOOKUP(B16,BNF!M$2:AI$200,16,0)),0)</f>
        <v>590369</v>
      </c>
      <c r="R16" s="3" t="str">
        <f t="shared" si="8"/>
        <v>DOWN</v>
      </c>
      <c r="S16" s="8" t="str">
        <f t="shared" si="9"/>
        <v>UP</v>
      </c>
      <c r="T16" s="9" t="str">
        <f t="shared" si="10"/>
        <v>Short Buildup</v>
      </c>
      <c r="U16" s="16"/>
      <c r="V16" s="16"/>
    </row>
    <row r="17" spans="1:22" ht="15.75" x14ac:dyDescent="0.25">
      <c r="A17" t="str">
        <f t="shared" si="6"/>
        <v>CE23900</v>
      </c>
      <c r="B17" t="str">
        <f t="shared" si="0"/>
        <v>PE23900</v>
      </c>
      <c r="C17" s="16"/>
      <c r="D17" s="6" t="str">
        <f t="shared" si="7"/>
        <v>Short Buildup</v>
      </c>
      <c r="E17" s="5" t="str">
        <f t="shared" si="1"/>
        <v>UP</v>
      </c>
      <c r="F17" s="3" t="str">
        <f t="shared" si="2"/>
        <v>DOWN</v>
      </c>
      <c r="G17" s="49">
        <f>IFERROR(VALUE(VLOOKUP(A17,BNF!L$2:T$184,5,0)),0)</f>
        <v>520930</v>
      </c>
      <c r="H17" s="50">
        <f>IFERROR(VALUE(VLOOKUP(A17,BNF!L$2:U$184,3,0)),)</f>
        <v>1029650</v>
      </c>
      <c r="I17" s="51">
        <f>IFERROR(VALUE(VLOOKUP(A17,BNF!L$2:T$184,4,0)),0)</f>
        <v>720825</v>
      </c>
      <c r="J17" s="40">
        <f>IFERROR(VALUE(VLOOKUP(A17,BNF!L$2:T$184,8,0)),0)</f>
        <v>-99.95</v>
      </c>
      <c r="K17" s="52">
        <f>VALUE(VLOOKUP(A17,BNF!L$2:T$184,7,0))</f>
        <v>114.95</v>
      </c>
      <c r="L17" s="54">
        <f>BNF!AI12</f>
        <v>23900</v>
      </c>
      <c r="M17" s="52">
        <f>VALUE(VLOOKUP(B17,BNF!M$2:AI$200,14,0))</f>
        <v>103.9</v>
      </c>
      <c r="N17" s="40">
        <f>IFERROR(VALUE(VLOOKUP(B17,BNF!M$2:AI$200,13,0)),0)</f>
        <v>-98.55</v>
      </c>
      <c r="O17" s="51">
        <f>IFERROR(VALUE(VLOOKUP(B17,BNF!M$2:AI$200,17,0)),0)</f>
        <v>532325</v>
      </c>
      <c r="P17" s="49">
        <f>IFERROR(VALUE(VLOOKUP(B17,BNF!M$2:AI$200,18,0)),0)</f>
        <v>694650</v>
      </c>
      <c r="Q17" s="49">
        <f>IFERROR(VALUE(VLOOKUP(B17,BNF!M$2:AI$200,16,0)),0)</f>
        <v>390270</v>
      </c>
      <c r="R17" s="3" t="str">
        <f t="shared" si="3"/>
        <v>DOWN</v>
      </c>
      <c r="S17" s="8" t="str">
        <f t="shared" si="4"/>
        <v>UP</v>
      </c>
      <c r="T17" s="9" t="str">
        <f t="shared" si="5"/>
        <v>Short Buildup</v>
      </c>
      <c r="U17" s="16"/>
      <c r="V17" s="16"/>
    </row>
    <row r="18" spans="1:22" x14ac:dyDescent="0.25">
      <c r="A18" t="str">
        <f t="shared" si="6"/>
        <v>CE24000</v>
      </c>
      <c r="B18" t="str">
        <f t="shared" si="0"/>
        <v>PE24000</v>
      </c>
      <c r="C18" s="16"/>
      <c r="D18" s="6" t="str">
        <f t="shared" ref="D18:D27" si="11">IF(AND(J18&lt;0,I18&lt;0),"Long Liquidation",IF(AND(J18&lt;0,I18&gt;0),"Short Buildup",IF(AND(J18&gt;0,I18&gt;0),"Long Buildup",IF(AND(J18&gt;0,I18&lt;0),"Short covering"))))</f>
        <v>Short Buildup</v>
      </c>
      <c r="E18" s="5" t="str">
        <f t="shared" si="1"/>
        <v>UP</v>
      </c>
      <c r="F18" s="3" t="str">
        <f t="shared" si="2"/>
        <v>DOWN</v>
      </c>
      <c r="G18" s="49">
        <f>IFERROR(VALUE(VLOOKUP(A18,BNF!L$2:T$184,5,0)),0)</f>
        <v>1200205</v>
      </c>
      <c r="H18" s="50">
        <f>IFERROR(VALUE(VLOOKUP(A18,BNF!L$2:U$184,3,0)),)</f>
        <v>2118350</v>
      </c>
      <c r="I18" s="51">
        <f>IFERROR(VALUE(VLOOKUP(A18,BNF!L$2:T$184,4,0)),0)</f>
        <v>1099175</v>
      </c>
      <c r="J18" s="40">
        <f>IFERROR(VALUE(VLOOKUP(A18,BNF!L$2:T$184,8,0)),0)</f>
        <v>-97.4</v>
      </c>
      <c r="K18" s="52">
        <f>VALUE(VLOOKUP(A18,BNF!L$2:T$184,7,0))</f>
        <v>73.7</v>
      </c>
      <c r="L18" s="53">
        <f>L17+100</f>
        <v>24000</v>
      </c>
      <c r="M18" s="52">
        <f>VALUE(VLOOKUP(B18,BNF!M$2:AI$200,14,0))</f>
        <v>162.9</v>
      </c>
      <c r="N18" s="40">
        <f>IFERROR(VALUE(VLOOKUP(B18,BNF!M$2:AI$200,13,0)),0)</f>
        <v>-93.75</v>
      </c>
      <c r="O18" s="51">
        <f>IFERROR(VALUE(VLOOKUP(B18,BNF!M$2:AI$200,17,0)),0)</f>
        <v>552775</v>
      </c>
      <c r="P18" s="49">
        <f>IFERROR(VALUE(VLOOKUP(B18,BNF!M$2:AI$200,18,0)),0)</f>
        <v>919300</v>
      </c>
      <c r="Q18" s="49">
        <f>IFERROR(VALUE(VLOOKUP(B18,BNF!M$2:AI$200,16,0)),0)</f>
        <v>468710</v>
      </c>
      <c r="R18" s="3" t="str">
        <f t="shared" si="3"/>
        <v>DOWN</v>
      </c>
      <c r="S18" s="8" t="str">
        <f t="shared" si="4"/>
        <v>UP</v>
      </c>
      <c r="T18" s="9" t="str">
        <f t="shared" si="5"/>
        <v>Short Buildup</v>
      </c>
      <c r="U18" s="16"/>
      <c r="V18" s="16"/>
    </row>
    <row r="19" spans="1:22" x14ac:dyDescent="0.25">
      <c r="A19" t="str">
        <f t="shared" si="6"/>
        <v>CE24100</v>
      </c>
      <c r="B19" t="str">
        <f t="shared" si="0"/>
        <v>PE24100</v>
      </c>
      <c r="C19" s="16"/>
      <c r="D19" s="6" t="str">
        <f t="shared" si="11"/>
        <v>Short Buildup</v>
      </c>
      <c r="E19" s="5" t="str">
        <f t="shared" si="1"/>
        <v>UP</v>
      </c>
      <c r="F19" s="3" t="str">
        <f t="shared" si="2"/>
        <v>DOWN</v>
      </c>
      <c r="G19" s="49">
        <f>IFERROR(VALUE(VLOOKUP(A19,BNF!L$2:T$184,5,0)),0)</f>
        <v>647814</v>
      </c>
      <c r="H19" s="50">
        <f>IFERROR(VALUE(VLOOKUP(A19,BNF!L$2:U$184,3,0)),)</f>
        <v>1032000</v>
      </c>
      <c r="I19" s="51">
        <f>IFERROR(VALUE(VLOOKUP(A19,BNF!L$2:T$184,4,0)),0)</f>
        <v>684975</v>
      </c>
      <c r="J19" s="40">
        <f>IFERROR(VALUE(VLOOKUP(A19,BNF!L$2:T$184,8,0)),0)</f>
        <v>-85.3</v>
      </c>
      <c r="K19" s="52">
        <f>VALUE(VLOOKUP(A19,BNF!L$2:T$184,7,0))</f>
        <v>47.7</v>
      </c>
      <c r="L19" s="53">
        <f>L17+200</f>
        <v>24100</v>
      </c>
      <c r="M19" s="52">
        <f>VALUE(VLOOKUP(B19,BNF!M$2:AI$200,14,0))</f>
        <v>233.3</v>
      </c>
      <c r="N19" s="40">
        <f>IFERROR(VALUE(VLOOKUP(B19,BNF!M$2:AI$200,13,0)),0)</f>
        <v>-83.65</v>
      </c>
      <c r="O19" s="51">
        <f>IFERROR(VALUE(VLOOKUP(B19,BNF!M$2:AI$200,17,0)),0)</f>
        <v>99875</v>
      </c>
      <c r="P19" s="49">
        <f>IFERROR(VALUE(VLOOKUP(B19,BNF!M$2:AI$200,18,0)),0)</f>
        <v>130650</v>
      </c>
      <c r="Q19" s="49">
        <f>IFERROR(VALUE(VLOOKUP(B19,BNF!M$2:AI$200,16,0)),0)</f>
        <v>96805</v>
      </c>
      <c r="R19" s="3" t="str">
        <f t="shared" si="3"/>
        <v>DOWN</v>
      </c>
      <c r="S19" s="8" t="str">
        <f t="shared" si="4"/>
        <v>UP</v>
      </c>
      <c r="T19" s="9" t="str">
        <f t="shared" si="5"/>
        <v>Short Buildup</v>
      </c>
      <c r="U19" s="16"/>
      <c r="V19" s="16"/>
    </row>
    <row r="20" spans="1:22" x14ac:dyDescent="0.25">
      <c r="A20" t="str">
        <f t="shared" si="6"/>
        <v>CE24200</v>
      </c>
      <c r="B20" t="str">
        <f t="shared" si="0"/>
        <v>PE24200</v>
      </c>
      <c r="C20" s="16"/>
      <c r="D20" s="6" t="str">
        <f t="shared" si="11"/>
        <v>Short Buildup</v>
      </c>
      <c r="E20" s="5" t="str">
        <f t="shared" si="1"/>
        <v>UP</v>
      </c>
      <c r="F20" s="3" t="str">
        <f t="shared" si="2"/>
        <v>DOWN</v>
      </c>
      <c r="G20" s="49">
        <f>IFERROR(VALUE(VLOOKUP(A20,BNF!L$2:T$184,5,0)),0)</f>
        <v>881575</v>
      </c>
      <c r="H20" s="50">
        <f>IFERROR(VALUE(VLOOKUP(A20,BNF!L$2:U$184,3,0)),)</f>
        <v>1552275</v>
      </c>
      <c r="I20" s="51">
        <f>IFERROR(VALUE(VLOOKUP(A20,BNF!L$2:T$184,4,0)),0)</f>
        <v>855925</v>
      </c>
      <c r="J20" s="40">
        <f>IFERROR(VALUE(VLOOKUP(A20,BNF!L$2:T$184,8,0)),0)</f>
        <v>-74.7</v>
      </c>
      <c r="K20" s="52">
        <f>VALUE(VLOOKUP(A20,BNF!L$2:T$184,7,0))</f>
        <v>29.8</v>
      </c>
      <c r="L20" s="53">
        <f>L17+300</f>
        <v>24200</v>
      </c>
      <c r="M20" s="52">
        <f>VALUE(VLOOKUP(B20,BNF!M$2:AI$200,14,0))</f>
        <v>315</v>
      </c>
      <c r="N20" s="40">
        <f>IFERROR(VALUE(VLOOKUP(B20,BNF!M$2:AI$200,13,0)),0)</f>
        <v>-72.900000000000006</v>
      </c>
      <c r="O20" s="51">
        <f>IFERROR(VALUE(VLOOKUP(B20,BNF!M$2:AI$200,17,0)),0)</f>
        <v>40750</v>
      </c>
      <c r="P20" s="49">
        <f>IFERROR(VALUE(VLOOKUP(B20,BNF!M$2:AI$200,18,0)),0)</f>
        <v>75100</v>
      </c>
      <c r="Q20" s="49">
        <f>IFERROR(VALUE(VLOOKUP(B20,BNF!M$2:AI$200,16,0)),0)</f>
        <v>51711</v>
      </c>
      <c r="R20" s="3" t="str">
        <f t="shared" si="3"/>
        <v>DOWN</v>
      </c>
      <c r="S20" s="8" t="str">
        <f t="shared" si="4"/>
        <v>UP</v>
      </c>
      <c r="T20" s="9" t="str">
        <f t="shared" si="5"/>
        <v>Short Buildup</v>
      </c>
      <c r="U20" s="16"/>
      <c r="V20" s="16"/>
    </row>
    <row r="21" spans="1:22" x14ac:dyDescent="0.25">
      <c r="A21" t="str">
        <f t="shared" ref="A21:A27" si="12">"CE"&amp;L21</f>
        <v>CE24300</v>
      </c>
      <c r="B21" t="str">
        <f t="shared" ref="B21:B27" si="13">"PE"&amp;L21</f>
        <v>PE24300</v>
      </c>
      <c r="C21" s="16"/>
      <c r="D21" s="6" t="str">
        <f t="shared" si="11"/>
        <v>Short Buildup</v>
      </c>
      <c r="E21" s="5" t="str">
        <f t="shared" si="1"/>
        <v>UP</v>
      </c>
      <c r="F21" s="3" t="str">
        <f t="shared" si="2"/>
        <v>DOWN</v>
      </c>
      <c r="G21" s="49">
        <f>IFERROR(VALUE(VLOOKUP(A21,BNF!L$2:T$184,5,0)),0)</f>
        <v>613434</v>
      </c>
      <c r="H21" s="50">
        <f>IFERROR(VALUE(VLOOKUP(A21,BNF!L$2:U$184,3,0)),)</f>
        <v>1166100</v>
      </c>
      <c r="I21" s="51">
        <f>IFERROR(VALUE(VLOOKUP(A21,BNF!L$2:T$184,4,0)),0)</f>
        <v>737000</v>
      </c>
      <c r="J21" s="40">
        <f>IFERROR(VALUE(VLOOKUP(A21,BNF!L$2:T$184,8,0)),0)</f>
        <v>-62.9</v>
      </c>
      <c r="K21" s="52">
        <f>VALUE(VLOOKUP(A21,BNF!L$2:T$184,7,0))</f>
        <v>19.05</v>
      </c>
      <c r="L21" s="53">
        <f>L17+400</f>
        <v>24300</v>
      </c>
      <c r="M21" s="52">
        <f>VALUE(VLOOKUP(B21,BNF!M$2:AI$200,14,0))</f>
        <v>405.5</v>
      </c>
      <c r="N21" s="40">
        <f>IFERROR(VALUE(VLOOKUP(B21,BNF!M$2:AI$200,13,0)),0)</f>
        <v>-53.3</v>
      </c>
      <c r="O21" s="51">
        <f>IFERROR(VALUE(VLOOKUP(B21,BNF!M$2:AI$200,17,0)),0)</f>
        <v>18125</v>
      </c>
      <c r="P21" s="49">
        <f>IFERROR(VALUE(VLOOKUP(B21,BNF!M$2:AI$200,18,0)),0)</f>
        <v>40100</v>
      </c>
      <c r="Q21" s="49">
        <f>IFERROR(VALUE(VLOOKUP(B21,BNF!M$2:AI$200,16,0)),0)</f>
        <v>22879</v>
      </c>
      <c r="R21" s="3" t="str">
        <f t="shared" si="3"/>
        <v>DOWN</v>
      </c>
      <c r="S21" s="8" t="str">
        <f t="shared" si="4"/>
        <v>UP</v>
      </c>
      <c r="T21" s="9" t="str">
        <f t="shared" si="5"/>
        <v>Short Buildup</v>
      </c>
      <c r="U21" s="16"/>
      <c r="V21" s="16"/>
    </row>
    <row r="22" spans="1:22" x14ac:dyDescent="0.25">
      <c r="A22" t="str">
        <f t="shared" si="12"/>
        <v>CE24400</v>
      </c>
      <c r="B22" t="str">
        <f t="shared" si="13"/>
        <v>PE24400</v>
      </c>
      <c r="C22" s="16"/>
      <c r="D22" s="6" t="str">
        <f t="shared" si="11"/>
        <v>Short Buildup</v>
      </c>
      <c r="E22" s="5" t="str">
        <f t="shared" si="1"/>
        <v>UP</v>
      </c>
      <c r="F22" s="3" t="str">
        <f t="shared" si="2"/>
        <v>DOWN</v>
      </c>
      <c r="G22" s="49">
        <f>IFERROR(VALUE(VLOOKUP(A22,BNF!L$2:T$184,5,0)),0)</f>
        <v>499958</v>
      </c>
      <c r="H22" s="50">
        <f>IFERROR(VALUE(VLOOKUP(A22,BNF!L$2:U$184,3,0)),)</f>
        <v>1070325</v>
      </c>
      <c r="I22" s="51">
        <f>IFERROR(VALUE(VLOOKUP(A22,BNF!L$2:T$184,4,0)),0)</f>
        <v>767725</v>
      </c>
      <c r="J22" s="40">
        <f>IFERROR(VALUE(VLOOKUP(A22,BNF!L$2:T$184,8,0)),0)</f>
        <v>-51.65</v>
      </c>
      <c r="K22" s="52">
        <f>VALUE(VLOOKUP(A22,BNF!L$2:T$184,7,0))</f>
        <v>12.3</v>
      </c>
      <c r="L22" s="53">
        <f>L17+500</f>
        <v>24400</v>
      </c>
      <c r="M22" s="52">
        <f>VALUE(VLOOKUP(B22,BNF!M$2:AI$200,14,0))</f>
        <v>500</v>
      </c>
      <c r="N22" s="40">
        <f>IFERROR(VALUE(VLOOKUP(B22,BNF!M$2:AI$200,13,0)),0)</f>
        <v>-44.7</v>
      </c>
      <c r="O22" s="51">
        <f>IFERROR(VALUE(VLOOKUP(B22,BNF!M$2:AI$200,17,0)),0)</f>
        <v>83200</v>
      </c>
      <c r="P22" s="49">
        <f>IFERROR(VALUE(VLOOKUP(B22,BNF!M$2:AI$200,18,0)),0)</f>
        <v>92475</v>
      </c>
      <c r="Q22" s="49">
        <f>IFERROR(VALUE(VLOOKUP(B22,BNF!M$2:AI$200,16,0)),0)</f>
        <v>11078</v>
      </c>
      <c r="R22" s="3" t="str">
        <f t="shared" si="3"/>
        <v>DOWN</v>
      </c>
      <c r="S22" s="8" t="str">
        <f t="shared" si="4"/>
        <v>UP</v>
      </c>
      <c r="T22" s="9" t="str">
        <f t="shared" si="5"/>
        <v>Short Buildup</v>
      </c>
      <c r="U22" s="16"/>
      <c r="V22" s="16"/>
    </row>
    <row r="23" spans="1:22" x14ac:dyDescent="0.25">
      <c r="A23" t="str">
        <f t="shared" si="12"/>
        <v>CE24500</v>
      </c>
      <c r="B23" t="str">
        <f t="shared" si="13"/>
        <v>PE24500</v>
      </c>
      <c r="C23" s="16"/>
      <c r="D23" s="6" t="str">
        <f t="shared" si="11"/>
        <v>Short Buildup</v>
      </c>
      <c r="E23" s="5" t="str">
        <f t="shared" si="1"/>
        <v>UP</v>
      </c>
      <c r="F23" s="3" t="str">
        <f t="shared" si="2"/>
        <v>DOWN</v>
      </c>
      <c r="G23" s="49">
        <f>IFERROR(VALUE(VLOOKUP(A23,BNF!L$2:T$184,5,0)),0)</f>
        <v>748389</v>
      </c>
      <c r="H23" s="50">
        <f>IFERROR(VALUE(VLOOKUP(A23,BNF!L$2:U$184,3,0)),)</f>
        <v>2486925</v>
      </c>
      <c r="I23" s="51">
        <f>IFERROR(VALUE(VLOOKUP(A23,BNF!L$2:T$184,4,0)),0)</f>
        <v>1656675</v>
      </c>
      <c r="J23" s="40">
        <f>IFERROR(VALUE(VLOOKUP(A23,BNF!L$2:T$184,8,0)),0)</f>
        <v>-42</v>
      </c>
      <c r="K23" s="52">
        <f>VALUE(VLOOKUP(A23,BNF!L$2:T$184,7,0))</f>
        <v>7.85</v>
      </c>
      <c r="L23" s="53">
        <f>L17+600</f>
        <v>24500</v>
      </c>
      <c r="M23" s="52">
        <f>VALUE(VLOOKUP(B23,BNF!M$2:AI$200,14,0))</f>
        <v>596.35</v>
      </c>
      <c r="N23" s="40">
        <f>IFERROR(VALUE(VLOOKUP(B23,BNF!M$2:AI$200,13,0)),0)</f>
        <v>-39.75</v>
      </c>
      <c r="O23" s="51">
        <f>IFERROR(VALUE(VLOOKUP(B23,BNF!M$2:AI$200,17,0)),0)</f>
        <v>26450</v>
      </c>
      <c r="P23" s="49">
        <f>IFERROR(VALUE(VLOOKUP(B23,BNF!M$2:AI$200,18,0)),0)</f>
        <v>60925</v>
      </c>
      <c r="Q23" s="49">
        <f>IFERROR(VALUE(VLOOKUP(B23,BNF!M$2:AI$200,16,0)),0)</f>
        <v>10076</v>
      </c>
      <c r="R23" s="3" t="str">
        <f t="shared" si="3"/>
        <v>DOWN</v>
      </c>
      <c r="S23" s="8" t="str">
        <f t="shared" si="4"/>
        <v>UP</v>
      </c>
      <c r="T23" s="9" t="str">
        <f t="shared" si="5"/>
        <v>Short Buildup</v>
      </c>
      <c r="U23" s="16"/>
      <c r="V23" s="16"/>
    </row>
    <row r="24" spans="1:22" x14ac:dyDescent="0.25">
      <c r="A24" t="str">
        <f t="shared" si="12"/>
        <v>CE24600</v>
      </c>
      <c r="B24" t="str">
        <f t="shared" si="13"/>
        <v>PE24600</v>
      </c>
      <c r="C24" s="16"/>
      <c r="D24" s="6" t="str">
        <f t="shared" si="11"/>
        <v>Short Buildup</v>
      </c>
      <c r="E24" s="5" t="str">
        <f t="shared" si="1"/>
        <v>UP</v>
      </c>
      <c r="F24" s="3" t="str">
        <f t="shared" si="2"/>
        <v>DOWN</v>
      </c>
      <c r="G24" s="49">
        <f>IFERROR(VALUE(VLOOKUP(A24,BNF!L$2:T$184,5,0)),0)</f>
        <v>323822</v>
      </c>
      <c r="H24" s="50">
        <f>IFERROR(VALUE(VLOOKUP(A24,BNF!L$2:U$184,3,0)),)</f>
        <v>874175</v>
      </c>
      <c r="I24" s="51">
        <f>IFERROR(VALUE(VLOOKUP(A24,BNF!L$2:T$184,4,0)),0)</f>
        <v>589425</v>
      </c>
      <c r="J24" s="40">
        <f>IFERROR(VALUE(VLOOKUP(A24,BNF!L$2:T$184,8,0)),0)</f>
        <v>-33.700000000000003</v>
      </c>
      <c r="K24" s="52">
        <f>VALUE(VLOOKUP(A24,BNF!L$2:T$184,7,0))</f>
        <v>5.05</v>
      </c>
      <c r="L24" s="53">
        <f>L17+700</f>
        <v>24600</v>
      </c>
      <c r="M24" s="52">
        <f>VALUE(VLOOKUP(B24,BNF!M$2:AI$200,14,0))</f>
        <v>712.95</v>
      </c>
      <c r="N24" s="40">
        <f>IFERROR(VALUE(VLOOKUP(B24,BNF!M$2:AI$200,13,0)),0)</f>
        <v>-27.05</v>
      </c>
      <c r="O24" s="51">
        <f>IFERROR(VALUE(VLOOKUP(B24,BNF!M$2:AI$200,17,0)),0)</f>
        <v>-700</v>
      </c>
      <c r="P24" s="49">
        <f>IFERROR(VALUE(VLOOKUP(B24,BNF!M$2:AI$200,18,0)),0)</f>
        <v>4175</v>
      </c>
      <c r="Q24" s="49">
        <f>IFERROR(VALUE(VLOOKUP(B24,BNF!M$2:AI$200,16,0)),0)</f>
        <v>459</v>
      </c>
      <c r="R24" s="3" t="str">
        <f t="shared" si="3"/>
        <v>DOWN</v>
      </c>
      <c r="S24" s="8" t="str">
        <f t="shared" si="4"/>
        <v>DOWN</v>
      </c>
      <c r="T24" s="9" t="str">
        <f t="shared" si="5"/>
        <v>Long Liquidation</v>
      </c>
      <c r="U24" s="16"/>
      <c r="V24" s="16"/>
    </row>
    <row r="25" spans="1:22" x14ac:dyDescent="0.25">
      <c r="A25" t="str">
        <f t="shared" si="12"/>
        <v>CE24700</v>
      </c>
      <c r="B25" t="str">
        <f t="shared" si="13"/>
        <v>PE24700</v>
      </c>
      <c r="C25" s="16"/>
      <c r="D25" s="6" t="str">
        <f t="shared" si="11"/>
        <v>Short Buildup</v>
      </c>
      <c r="E25" s="5" t="str">
        <f t="shared" si="1"/>
        <v>UP</v>
      </c>
      <c r="F25" s="3" t="str">
        <f t="shared" si="2"/>
        <v>DOWN</v>
      </c>
      <c r="G25" s="49">
        <f>IFERROR(VALUE(VLOOKUP(A25,BNF!L$2:T$184,5,0)),0)</f>
        <v>209143</v>
      </c>
      <c r="H25" s="50">
        <f>IFERROR(VALUE(VLOOKUP(A25,BNF!L$2:U$184,3,0)),)</f>
        <v>707125</v>
      </c>
      <c r="I25" s="51">
        <f>IFERROR(VALUE(VLOOKUP(A25,BNF!L$2:T$184,4,0)),0)</f>
        <v>483775</v>
      </c>
      <c r="J25" s="40">
        <f>IFERROR(VALUE(VLOOKUP(A25,BNF!L$2:T$184,8,0)),0)</f>
        <v>-27.3</v>
      </c>
      <c r="K25" s="52">
        <f>VALUE(VLOOKUP(A25,BNF!L$2:T$184,7,0))</f>
        <v>3.3</v>
      </c>
      <c r="L25" s="53">
        <f>L17+800</f>
        <v>24700</v>
      </c>
      <c r="M25" s="52">
        <f>VALUE(VLOOKUP(B25,BNF!M$2:AI$200,14,0))</f>
        <v>808.8</v>
      </c>
      <c r="N25" s="40">
        <f>IFERROR(VALUE(VLOOKUP(B25,BNF!M$2:AI$200,13,0)),0)</f>
        <v>-21.05</v>
      </c>
      <c r="O25" s="51">
        <f>IFERROR(VALUE(VLOOKUP(B25,BNF!M$2:AI$200,17,0)),0)</f>
        <v>-1325</v>
      </c>
      <c r="P25" s="49">
        <f>IFERROR(VALUE(VLOOKUP(B25,BNF!M$2:AI$200,18,0)),0)</f>
        <v>5825</v>
      </c>
      <c r="Q25" s="49">
        <f>IFERROR(VALUE(VLOOKUP(B25,BNF!M$2:AI$200,16,0)),0)</f>
        <v>354</v>
      </c>
      <c r="R25" s="3" t="str">
        <f t="shared" si="3"/>
        <v>DOWN</v>
      </c>
      <c r="S25" s="8" t="str">
        <f t="shared" si="4"/>
        <v>DOWN</v>
      </c>
      <c r="T25" s="10" t="str">
        <f t="shared" si="5"/>
        <v>Long Liquidation</v>
      </c>
      <c r="U25" s="16"/>
      <c r="V25" s="16"/>
    </row>
    <row r="26" spans="1:22" x14ac:dyDescent="0.25">
      <c r="A26" t="str">
        <f t="shared" si="12"/>
        <v>CE24800</v>
      </c>
      <c r="B26" t="str">
        <f t="shared" si="13"/>
        <v>PE24800</v>
      </c>
      <c r="C26" s="16"/>
      <c r="D26" s="6" t="str">
        <f t="shared" si="11"/>
        <v>Short Buildup</v>
      </c>
      <c r="E26" s="5" t="str">
        <f t="shared" si="1"/>
        <v>UP</v>
      </c>
      <c r="F26" s="3" t="str">
        <f t="shared" si="2"/>
        <v>DOWN</v>
      </c>
      <c r="G26" s="49">
        <f>IFERROR(VALUE(VLOOKUP(A26,BNF!L$2:T$184,5,0)),0)</f>
        <v>152952</v>
      </c>
      <c r="H26" s="50">
        <f>IFERROR(VALUE(VLOOKUP(A26,BNF!L$2:U$184,3,0)),)</f>
        <v>511025</v>
      </c>
      <c r="I26" s="51">
        <f>IFERROR(VALUE(VLOOKUP(A26,BNF!L$2:T$184,4,0)),0)</f>
        <v>276975</v>
      </c>
      <c r="J26" s="40">
        <f>IFERROR(VALUE(VLOOKUP(A26,BNF!L$2:T$184,8,0)),0)</f>
        <v>-21.8</v>
      </c>
      <c r="K26" s="52">
        <f>VALUE(VLOOKUP(A26,BNF!L$2:T$184,7,0))</f>
        <v>2.5</v>
      </c>
      <c r="L26" s="53">
        <f>L17+900</f>
        <v>24800</v>
      </c>
      <c r="M26" s="52">
        <f>VALUE(VLOOKUP(B26,BNF!M$2:AI$200,14,0))</f>
        <v>900</v>
      </c>
      <c r="N26" s="40">
        <f>IFERROR(VALUE(VLOOKUP(B26,BNF!M$2:AI$200,13,0)),0)</f>
        <v>-27.45</v>
      </c>
      <c r="O26" s="51">
        <f>IFERROR(VALUE(VLOOKUP(B26,BNF!M$2:AI$200,17,0)),0)</f>
        <v>475</v>
      </c>
      <c r="P26" s="49">
        <f>IFERROR(VALUE(VLOOKUP(B26,BNF!M$2:AI$200,18,0)),0)</f>
        <v>3200</v>
      </c>
      <c r="Q26" s="49">
        <f>IFERROR(VALUE(VLOOKUP(B26,BNF!M$2:AI$200,16,0)),0)</f>
        <v>240</v>
      </c>
      <c r="R26" s="3" t="str">
        <f t="shared" si="3"/>
        <v>DOWN</v>
      </c>
      <c r="S26" s="8" t="str">
        <f t="shared" si="4"/>
        <v>UP</v>
      </c>
      <c r="T26" s="11" t="str">
        <f t="shared" si="5"/>
        <v>Short Buildup</v>
      </c>
      <c r="U26" s="16"/>
      <c r="V26" s="16"/>
    </row>
    <row r="27" spans="1:22" x14ac:dyDescent="0.25">
      <c r="A27" t="str">
        <f t="shared" si="12"/>
        <v>CE24900</v>
      </c>
      <c r="B27" t="str">
        <f t="shared" si="13"/>
        <v>PE24900</v>
      </c>
      <c r="C27" s="16"/>
      <c r="D27" s="7" t="str">
        <f t="shared" si="11"/>
        <v>Short Buildup</v>
      </c>
      <c r="E27" s="5" t="str">
        <f t="shared" si="1"/>
        <v>UP</v>
      </c>
      <c r="F27" s="3" t="str">
        <f t="shared" si="2"/>
        <v>DOWN</v>
      </c>
      <c r="G27" s="49">
        <f>IFERROR(VALUE(VLOOKUP(A27,BNF!L$2:T$184,5,0)),0)</f>
        <v>99053</v>
      </c>
      <c r="H27" s="50">
        <f>IFERROR(VALUE(VLOOKUP(A27,BNF!L$2:U$184,3,0)),)</f>
        <v>376250</v>
      </c>
      <c r="I27" s="51">
        <f>IFERROR(VALUE(VLOOKUP(A27,BNF!L$2:T$184,4,0)),0)</f>
        <v>244500</v>
      </c>
      <c r="J27" s="40">
        <f>IFERROR(VALUE(VLOOKUP(A27,BNF!L$2:T$184,8,0)),0)</f>
        <v>-17.2</v>
      </c>
      <c r="K27" s="52">
        <f>VALUE(VLOOKUP(A27,BNF!L$2:T$184,7,0))</f>
        <v>2</v>
      </c>
      <c r="L27" s="53">
        <f>L17+1000</f>
        <v>24900</v>
      </c>
      <c r="M27" s="52">
        <f>VALUE(VLOOKUP(B27,BNF!M$2:AI$200,14,0))</f>
        <v>1005.65</v>
      </c>
      <c r="N27" s="40">
        <f>IFERROR(VALUE(VLOOKUP(B27,BNF!M$2:AI$200,13,0)),0)</f>
        <v>-7.4</v>
      </c>
      <c r="O27" s="51">
        <f>IFERROR(VALUE(VLOOKUP(B27,BNF!M$2:AI$200,17,0)),0)</f>
        <v>0</v>
      </c>
      <c r="P27" s="49">
        <f>IFERROR(VALUE(VLOOKUP(B27,BNF!M$2:AI$200,18,0)),0)</f>
        <v>1425</v>
      </c>
      <c r="Q27" s="49">
        <f>IFERROR(VALUE(VLOOKUP(B27,BNF!M$2:AI$200,16,0)),0)</f>
        <v>67</v>
      </c>
      <c r="R27" s="3" t="str">
        <f t="shared" si="3"/>
        <v>DOWN</v>
      </c>
      <c r="S27" s="8" t="str">
        <f t="shared" si="4"/>
        <v>DOWN</v>
      </c>
      <c r="T27" s="9" t="b">
        <f t="shared" si="5"/>
        <v>0</v>
      </c>
      <c r="U27" s="16"/>
      <c r="V27" s="16"/>
    </row>
    <row r="28" spans="1:22" x14ac:dyDescent="0.25">
      <c r="A28" s="41"/>
      <c r="B28" s="41"/>
      <c r="C28" s="16"/>
      <c r="D28" s="16"/>
      <c r="E28" s="16"/>
      <c r="F28" s="16"/>
      <c r="G28" s="16"/>
      <c r="H28" s="33"/>
      <c r="I28" s="16"/>
      <c r="J28" s="38"/>
      <c r="K28" s="38"/>
      <c r="L28" s="16"/>
      <c r="M28" s="16"/>
      <c r="N28" s="16"/>
      <c r="O28" s="16"/>
      <c r="P28" s="16"/>
      <c r="Q28" s="16"/>
      <c r="R28" s="16"/>
      <c r="S28" s="16"/>
      <c r="T28" s="16"/>
      <c r="U28" s="16"/>
      <c r="V28" s="16"/>
    </row>
    <row r="29" spans="1:22" ht="23.25" x14ac:dyDescent="0.35">
      <c r="C29" s="16"/>
      <c r="D29" s="48"/>
      <c r="E29" s="16"/>
      <c r="F29" s="16"/>
      <c r="G29" s="16"/>
      <c r="H29" s="33"/>
      <c r="I29" s="16"/>
      <c r="J29" s="16"/>
      <c r="K29" s="46" t="s">
        <v>53</v>
      </c>
      <c r="L29" s="47"/>
      <c r="M29" s="47"/>
      <c r="N29" s="16"/>
      <c r="O29" s="16"/>
      <c r="P29" s="16"/>
      <c r="Q29" s="16"/>
      <c r="R29" s="16"/>
      <c r="S29" s="16"/>
      <c r="T29" s="16"/>
      <c r="U29" s="16"/>
      <c r="V29" s="16"/>
    </row>
    <row r="30" spans="1:22" x14ac:dyDescent="0.25">
      <c r="C30" s="16"/>
      <c r="D30" s="16"/>
      <c r="E30" s="16"/>
      <c r="F30" s="16"/>
      <c r="G30" s="16"/>
      <c r="H30" s="33"/>
      <c r="I30" s="16"/>
      <c r="J30" s="16"/>
      <c r="K30" s="16"/>
      <c r="L30" s="16"/>
      <c r="M30" s="16"/>
      <c r="N30" s="16"/>
      <c r="O30" s="16"/>
      <c r="P30" s="16"/>
      <c r="Q30" s="16"/>
      <c r="R30" s="16"/>
      <c r="S30" s="16"/>
      <c r="T30" s="16"/>
      <c r="U30" s="16"/>
      <c r="V30" s="16"/>
    </row>
    <row r="31" spans="1:22" x14ac:dyDescent="0.25">
      <c r="C31" s="16"/>
      <c r="D31" s="16"/>
      <c r="E31" s="16"/>
      <c r="F31" s="16"/>
      <c r="G31" s="16"/>
      <c r="H31" s="33"/>
      <c r="I31" s="16"/>
      <c r="J31" s="16"/>
      <c r="K31" s="16"/>
      <c r="L31" s="16"/>
      <c r="M31" s="16"/>
      <c r="N31" s="16"/>
      <c r="O31" s="16"/>
      <c r="P31" s="16"/>
      <c r="Q31" s="16"/>
      <c r="R31" s="16"/>
      <c r="S31" s="16"/>
      <c r="T31" s="16"/>
      <c r="U31" s="16"/>
      <c r="V31" s="16"/>
    </row>
    <row r="32" spans="1:22" x14ac:dyDescent="0.25">
      <c r="C32" s="16"/>
      <c r="D32" s="16"/>
      <c r="E32" s="16"/>
      <c r="F32" s="16"/>
      <c r="G32" s="16"/>
      <c r="H32" s="33"/>
      <c r="I32" s="16"/>
      <c r="J32" s="16"/>
      <c r="K32" s="16"/>
      <c r="L32" s="16"/>
      <c r="M32" s="16"/>
      <c r="N32" s="16"/>
      <c r="O32" s="16"/>
      <c r="P32" s="16"/>
      <c r="Q32" s="16"/>
      <c r="R32" s="16"/>
      <c r="S32" s="16"/>
      <c r="T32" s="16"/>
      <c r="U32" s="16"/>
      <c r="V32" s="16"/>
    </row>
    <row r="33" spans="3:22" x14ac:dyDescent="0.25">
      <c r="C33" s="16"/>
      <c r="D33" s="16"/>
      <c r="E33" s="16"/>
      <c r="F33" s="16"/>
      <c r="G33" s="16"/>
      <c r="H33" s="33"/>
      <c r="I33" s="16"/>
      <c r="J33" s="16"/>
      <c r="K33" s="16"/>
      <c r="L33" s="16"/>
      <c r="M33" s="16"/>
      <c r="N33" s="16"/>
      <c r="O33" s="16"/>
      <c r="P33" s="16"/>
      <c r="Q33" s="16"/>
      <c r="R33" s="16"/>
      <c r="S33" s="16"/>
      <c r="T33" s="16"/>
      <c r="U33" s="16"/>
      <c r="V33" s="16"/>
    </row>
    <row r="34" spans="3:22" x14ac:dyDescent="0.25">
      <c r="C34" s="16"/>
      <c r="D34" s="16"/>
      <c r="E34" s="16"/>
      <c r="F34" s="16"/>
      <c r="G34" s="16"/>
      <c r="H34" s="33"/>
      <c r="I34" s="16"/>
      <c r="J34" s="16"/>
      <c r="K34" s="16"/>
      <c r="L34" s="16"/>
      <c r="M34" s="16"/>
      <c r="N34" s="16"/>
      <c r="O34" s="16"/>
      <c r="P34" s="16"/>
      <c r="Q34" s="16"/>
      <c r="R34" s="16"/>
      <c r="S34" s="16"/>
      <c r="T34" s="16"/>
      <c r="U34" s="16"/>
      <c r="V34" s="16"/>
    </row>
    <row r="35" spans="3:22" x14ac:dyDescent="0.25">
      <c r="C35" s="16"/>
      <c r="D35" s="16"/>
      <c r="E35" s="16"/>
      <c r="F35" s="16"/>
      <c r="G35" s="16"/>
      <c r="H35" s="33"/>
      <c r="I35" s="16"/>
      <c r="J35" s="16"/>
      <c r="K35" s="16"/>
      <c r="L35" s="16"/>
      <c r="M35" s="16"/>
      <c r="N35" s="16"/>
      <c r="O35" s="16"/>
      <c r="P35" s="16"/>
      <c r="Q35" s="16"/>
      <c r="R35" s="16"/>
      <c r="S35" s="16"/>
      <c r="T35" s="16"/>
      <c r="U35" s="16"/>
      <c r="V35" s="16"/>
    </row>
    <row r="36" spans="3:22" x14ac:dyDescent="0.25">
      <c r="C36" s="16"/>
      <c r="D36" s="16"/>
      <c r="E36" s="16"/>
      <c r="F36" s="16"/>
      <c r="G36" s="16"/>
      <c r="H36" s="33"/>
      <c r="I36" s="16"/>
      <c r="J36" s="16"/>
      <c r="K36" s="16"/>
      <c r="L36" s="16"/>
      <c r="M36" s="16"/>
      <c r="N36" s="16"/>
      <c r="O36" s="16"/>
      <c r="P36" s="16"/>
      <c r="Q36" s="16"/>
      <c r="R36" s="16"/>
      <c r="S36" s="16"/>
      <c r="T36" s="16"/>
      <c r="U36" s="16"/>
      <c r="V36" s="16"/>
    </row>
    <row r="37" spans="3:22" x14ac:dyDescent="0.25">
      <c r="C37" s="16"/>
      <c r="D37" s="16"/>
      <c r="E37" s="16"/>
      <c r="F37" s="16"/>
      <c r="G37" s="16"/>
      <c r="H37" s="33"/>
      <c r="I37" s="16"/>
      <c r="J37" s="16"/>
      <c r="K37" s="16"/>
      <c r="L37" s="16"/>
      <c r="M37" s="16"/>
      <c r="N37" s="16"/>
      <c r="O37" s="16"/>
      <c r="P37" s="16"/>
      <c r="Q37" s="16"/>
      <c r="R37" s="16"/>
      <c r="S37" s="16"/>
      <c r="T37" s="16"/>
      <c r="U37" s="16"/>
      <c r="V37" s="16"/>
    </row>
    <row r="38" spans="3:22" x14ac:dyDescent="0.25">
      <c r="C38" s="16"/>
      <c r="D38" s="16"/>
      <c r="E38" s="16"/>
      <c r="F38" s="16"/>
      <c r="G38" s="16"/>
      <c r="H38" s="33"/>
      <c r="I38" s="16"/>
      <c r="J38" s="16"/>
      <c r="K38" s="16"/>
      <c r="L38" s="16"/>
      <c r="M38" s="16"/>
      <c r="N38" s="16"/>
      <c r="O38" s="16"/>
      <c r="P38" s="16"/>
      <c r="Q38" s="16"/>
      <c r="R38" s="16"/>
      <c r="S38" s="16"/>
      <c r="T38" s="16"/>
      <c r="U38" s="16"/>
      <c r="V38" s="16"/>
    </row>
    <row r="39" spans="3:22" x14ac:dyDescent="0.25">
      <c r="C39" s="16"/>
      <c r="D39" s="16"/>
      <c r="E39" s="16"/>
      <c r="F39" s="16"/>
      <c r="G39" s="16"/>
      <c r="H39" s="33"/>
      <c r="I39" s="16"/>
      <c r="J39" s="16"/>
      <c r="K39" s="16"/>
      <c r="L39" s="16"/>
      <c r="M39" s="16"/>
      <c r="N39" s="16"/>
      <c r="O39" s="16"/>
      <c r="P39" s="16"/>
      <c r="Q39" s="16"/>
      <c r="R39" s="16"/>
      <c r="S39" s="16"/>
      <c r="T39" s="16"/>
      <c r="U39" s="16"/>
      <c r="V39" s="16"/>
    </row>
    <row r="40" spans="3:22" x14ac:dyDescent="0.25">
      <c r="C40" s="16"/>
      <c r="D40" s="16"/>
      <c r="E40" s="16"/>
      <c r="F40" s="16"/>
      <c r="G40" s="16"/>
      <c r="H40" s="33"/>
      <c r="I40" s="16"/>
      <c r="J40" s="16"/>
      <c r="K40" s="16"/>
      <c r="L40" s="16"/>
      <c r="M40" s="16"/>
      <c r="N40" s="16"/>
      <c r="O40" s="16"/>
      <c r="P40" s="16"/>
      <c r="Q40" s="16"/>
      <c r="R40" s="16"/>
      <c r="S40" s="16"/>
      <c r="T40" s="16"/>
      <c r="U40" s="16"/>
      <c r="V40" s="16"/>
    </row>
    <row r="41" spans="3:22" x14ac:dyDescent="0.25">
      <c r="C41" s="16"/>
      <c r="D41" s="16"/>
      <c r="E41" s="16"/>
      <c r="F41" s="16"/>
      <c r="G41" s="16"/>
      <c r="H41" s="33"/>
      <c r="I41" s="16"/>
      <c r="J41" s="16"/>
      <c r="K41" s="16"/>
      <c r="L41" s="16"/>
      <c r="M41" s="16"/>
      <c r="N41" s="16"/>
      <c r="O41" s="16"/>
      <c r="P41" s="16"/>
      <c r="Q41" s="16"/>
      <c r="R41" s="16"/>
      <c r="S41" s="16"/>
      <c r="T41" s="16"/>
      <c r="U41" s="16"/>
      <c r="V41" s="16"/>
    </row>
    <row r="42" spans="3:22" x14ac:dyDescent="0.25">
      <c r="C42" s="16"/>
      <c r="D42" s="16"/>
      <c r="E42" s="16"/>
      <c r="F42" s="16"/>
      <c r="G42" s="16"/>
      <c r="H42" s="33"/>
      <c r="I42" s="16"/>
      <c r="J42" s="16"/>
      <c r="K42" s="16"/>
      <c r="L42" s="16"/>
      <c r="M42" s="16"/>
      <c r="N42" s="16"/>
      <c r="O42" s="16"/>
      <c r="P42" s="16"/>
      <c r="Q42" s="16"/>
      <c r="R42" s="16"/>
      <c r="S42" s="16"/>
      <c r="T42" s="16"/>
      <c r="U42" s="16"/>
      <c r="V42" s="16"/>
    </row>
    <row r="43" spans="3:22" x14ac:dyDescent="0.25">
      <c r="C43" s="16"/>
      <c r="D43" s="16"/>
      <c r="E43" s="16"/>
      <c r="F43" s="16"/>
      <c r="G43" s="16"/>
      <c r="H43" s="33"/>
      <c r="I43" s="16"/>
      <c r="J43" s="16"/>
      <c r="K43" s="16"/>
      <c r="L43" s="16"/>
      <c r="M43" s="16"/>
      <c r="N43" s="16"/>
      <c r="O43" s="16"/>
      <c r="P43" s="16"/>
      <c r="Q43" s="16"/>
      <c r="R43" s="16"/>
      <c r="S43" s="16"/>
      <c r="T43" s="16"/>
      <c r="U43" s="16"/>
      <c r="V43" s="16"/>
    </row>
    <row r="44" spans="3:22" x14ac:dyDescent="0.25">
      <c r="C44" s="16"/>
      <c r="D44" s="16"/>
      <c r="E44" s="16"/>
      <c r="F44" s="16"/>
      <c r="G44" s="16"/>
      <c r="H44" s="33"/>
      <c r="I44" s="16"/>
      <c r="J44" s="16"/>
      <c r="K44" s="16"/>
      <c r="L44" s="16"/>
      <c r="M44" s="16"/>
      <c r="N44" s="16"/>
      <c r="O44" s="16"/>
      <c r="P44" s="16"/>
      <c r="Q44" s="16"/>
      <c r="R44" s="16"/>
      <c r="S44" s="16"/>
      <c r="T44" s="16"/>
      <c r="U44" s="16"/>
      <c r="V44" s="16"/>
    </row>
    <row r="45" spans="3:22" x14ac:dyDescent="0.25">
      <c r="C45" s="16"/>
      <c r="D45" s="16"/>
      <c r="E45" s="16"/>
      <c r="F45" s="16"/>
      <c r="G45" s="16"/>
      <c r="H45" s="33"/>
      <c r="I45" s="16"/>
      <c r="J45" s="16"/>
      <c r="K45" s="16"/>
      <c r="L45" s="16"/>
      <c r="M45" s="16"/>
      <c r="N45" s="16"/>
      <c r="O45" s="16"/>
      <c r="P45" s="16"/>
      <c r="Q45" s="16"/>
      <c r="R45" s="16"/>
      <c r="S45" s="16"/>
      <c r="T45" s="16"/>
      <c r="U45" s="16"/>
      <c r="V45" s="16"/>
    </row>
    <row r="46" spans="3:22" x14ac:dyDescent="0.25">
      <c r="C46" s="16"/>
      <c r="D46" s="16"/>
      <c r="E46" s="16"/>
      <c r="F46" s="16"/>
      <c r="G46" s="16"/>
      <c r="H46" s="33"/>
      <c r="I46" s="16"/>
      <c r="J46" s="16"/>
      <c r="K46" s="16"/>
      <c r="L46" s="16"/>
      <c r="M46" s="16"/>
      <c r="N46" s="16"/>
      <c r="O46" s="16"/>
      <c r="P46" s="16"/>
      <c r="Q46" s="16"/>
      <c r="R46" s="16"/>
      <c r="S46" s="16"/>
      <c r="T46" s="16"/>
      <c r="U46" s="16"/>
      <c r="V46" s="16"/>
    </row>
    <row r="47" spans="3:22" x14ac:dyDescent="0.25">
      <c r="C47" s="16"/>
      <c r="D47" s="16"/>
      <c r="E47" s="16"/>
      <c r="F47" s="16"/>
      <c r="G47" s="16"/>
      <c r="H47" s="33"/>
      <c r="I47" s="16"/>
      <c r="J47" s="16"/>
      <c r="K47" s="16"/>
      <c r="L47" s="16"/>
      <c r="M47" s="16"/>
      <c r="N47" s="16"/>
      <c r="O47" s="16"/>
      <c r="P47" s="16"/>
      <c r="Q47" s="16"/>
      <c r="R47" s="16"/>
      <c r="S47" s="16"/>
      <c r="T47" s="16"/>
      <c r="U47" s="16"/>
      <c r="V47" s="16"/>
    </row>
    <row r="48" spans="3:22" x14ac:dyDescent="0.25">
      <c r="C48" s="16"/>
      <c r="D48" s="16"/>
      <c r="E48" s="16"/>
      <c r="F48" s="16"/>
      <c r="G48" s="16"/>
      <c r="H48" s="33"/>
      <c r="I48" s="16"/>
      <c r="J48" s="16"/>
      <c r="K48" s="16"/>
      <c r="L48" s="16"/>
      <c r="M48" s="16"/>
      <c r="N48" s="16"/>
      <c r="O48" s="16"/>
      <c r="P48" s="16"/>
      <c r="Q48" s="16"/>
      <c r="R48" s="16"/>
      <c r="S48" s="16"/>
      <c r="T48" s="16"/>
      <c r="U48" s="16"/>
      <c r="V48" s="16"/>
    </row>
    <row r="49" spans="3:22" ht="27" customHeight="1" x14ac:dyDescent="0.35">
      <c r="C49" s="16"/>
      <c r="D49" s="16"/>
      <c r="E49" s="16"/>
      <c r="F49" s="16"/>
      <c r="G49" s="16"/>
      <c r="H49" s="33"/>
      <c r="I49" s="16"/>
      <c r="J49" s="60" t="s">
        <v>54</v>
      </c>
      <c r="K49" s="60"/>
      <c r="L49" s="60"/>
      <c r="M49" s="60"/>
      <c r="N49" s="60"/>
      <c r="O49" s="16"/>
      <c r="P49" s="16"/>
      <c r="Q49" s="16"/>
      <c r="R49" s="16"/>
      <c r="S49" s="16"/>
      <c r="T49" s="16"/>
      <c r="U49" s="16"/>
      <c r="V49" s="16"/>
    </row>
    <row r="50" spans="3:22" x14ac:dyDescent="0.25">
      <c r="C50" s="16"/>
      <c r="D50" s="16"/>
      <c r="E50" s="16"/>
      <c r="F50" s="16"/>
      <c r="G50" s="16"/>
      <c r="H50" s="33"/>
      <c r="I50" s="16"/>
      <c r="J50" s="16"/>
      <c r="K50" s="16"/>
      <c r="L50" s="16"/>
      <c r="M50" s="16"/>
      <c r="N50" s="19"/>
      <c r="O50" s="16"/>
      <c r="P50" s="16"/>
      <c r="Q50" s="16"/>
      <c r="R50" s="16"/>
      <c r="S50" s="16"/>
      <c r="T50" s="16"/>
      <c r="U50" s="16"/>
      <c r="V50" s="16"/>
    </row>
    <row r="51" spans="3:22" x14ac:dyDescent="0.25">
      <c r="C51" s="16"/>
      <c r="D51" s="16"/>
      <c r="E51" s="16"/>
      <c r="F51" s="16"/>
      <c r="G51" s="16"/>
      <c r="H51" s="33"/>
      <c r="I51" s="16"/>
      <c r="J51" s="16"/>
      <c r="K51" s="16"/>
      <c r="L51" s="16"/>
      <c r="M51" s="16"/>
      <c r="N51" s="16"/>
      <c r="O51" s="16"/>
      <c r="P51" s="16"/>
      <c r="Q51" s="16"/>
      <c r="R51" s="16"/>
      <c r="S51" s="16"/>
      <c r="T51" s="16"/>
      <c r="U51" s="16"/>
      <c r="V51" s="16"/>
    </row>
    <row r="52" spans="3:22" x14ac:dyDescent="0.25">
      <c r="C52" s="16"/>
      <c r="D52" s="16"/>
      <c r="E52" s="16"/>
      <c r="F52" s="16"/>
      <c r="G52" s="16"/>
      <c r="H52" s="33"/>
      <c r="I52" s="16"/>
      <c r="J52" s="16"/>
      <c r="K52" s="16"/>
      <c r="L52" s="16"/>
      <c r="M52" s="16"/>
      <c r="N52" s="16"/>
      <c r="O52" s="16"/>
      <c r="P52" s="16"/>
      <c r="Q52" s="16"/>
      <c r="R52" s="16"/>
      <c r="S52" s="16"/>
      <c r="T52" s="16"/>
      <c r="U52" s="16"/>
      <c r="V52" s="16"/>
    </row>
    <row r="53" spans="3:22" x14ac:dyDescent="0.25">
      <c r="C53" s="16"/>
      <c r="D53" s="16"/>
      <c r="E53" s="16"/>
      <c r="F53" s="16"/>
      <c r="G53" s="16"/>
      <c r="H53" s="33"/>
      <c r="I53" s="16"/>
      <c r="J53" s="16"/>
      <c r="K53" s="16"/>
      <c r="L53" s="16"/>
      <c r="M53" s="16"/>
      <c r="N53" s="16"/>
      <c r="O53" s="16"/>
      <c r="P53" s="16"/>
      <c r="Q53" s="16"/>
      <c r="R53" s="16"/>
      <c r="S53" s="16"/>
      <c r="T53" s="16"/>
      <c r="U53" s="16"/>
      <c r="V53" s="16"/>
    </row>
    <row r="54" spans="3:22" x14ac:dyDescent="0.25">
      <c r="C54" s="16"/>
      <c r="D54" s="16"/>
      <c r="E54" s="16"/>
      <c r="F54" s="16"/>
      <c r="G54" s="16"/>
      <c r="H54" s="33"/>
      <c r="I54" s="16"/>
      <c r="J54" s="16"/>
      <c r="K54" s="16"/>
      <c r="L54" s="16"/>
      <c r="M54" s="16"/>
      <c r="N54" s="16"/>
      <c r="O54" s="16"/>
      <c r="P54" s="16"/>
      <c r="Q54" s="16"/>
      <c r="R54" s="16"/>
      <c r="S54" s="16"/>
      <c r="T54" s="16"/>
      <c r="U54" s="16"/>
      <c r="V54" s="16"/>
    </row>
    <row r="55" spans="3:22" x14ac:dyDescent="0.25">
      <c r="C55" s="16"/>
      <c r="D55" s="16"/>
      <c r="E55" s="16"/>
      <c r="F55" s="16"/>
      <c r="G55" s="16"/>
      <c r="H55" s="33"/>
      <c r="I55" s="16"/>
      <c r="J55" s="16"/>
      <c r="K55" s="16"/>
      <c r="L55" s="16"/>
      <c r="M55" s="16"/>
      <c r="N55" s="16"/>
      <c r="O55" s="16"/>
      <c r="P55" s="16"/>
      <c r="Q55" s="16"/>
      <c r="R55" s="16"/>
      <c r="S55" s="16"/>
      <c r="T55" s="16"/>
      <c r="U55" s="16"/>
      <c r="V55" s="16"/>
    </row>
    <row r="56" spans="3:22" ht="23.25" x14ac:dyDescent="0.35">
      <c r="C56" s="16"/>
      <c r="D56" s="16"/>
      <c r="E56" s="57"/>
      <c r="F56" s="57"/>
      <c r="G56" s="57"/>
      <c r="H56" s="57"/>
      <c r="I56" s="16"/>
      <c r="J56" s="58"/>
      <c r="K56" s="58"/>
      <c r="L56" s="58"/>
      <c r="M56" s="58"/>
      <c r="N56" s="58"/>
      <c r="O56" s="57"/>
      <c r="P56" s="57"/>
      <c r="Q56" s="57"/>
      <c r="R56" s="57"/>
      <c r="S56" s="16"/>
      <c r="T56" s="16"/>
      <c r="U56" s="16"/>
      <c r="V56" s="16"/>
    </row>
    <row r="57" spans="3:22" x14ac:dyDescent="0.25">
      <c r="C57" s="16"/>
      <c r="D57" s="16"/>
      <c r="E57" s="16"/>
      <c r="F57" s="16"/>
      <c r="G57" s="16"/>
      <c r="H57" s="33"/>
      <c r="I57" s="16"/>
      <c r="J57" s="16"/>
      <c r="K57" s="16"/>
      <c r="L57" s="16"/>
      <c r="M57" s="16"/>
      <c r="N57" s="16"/>
      <c r="O57" s="16"/>
      <c r="P57" s="16"/>
      <c r="Q57" s="16"/>
      <c r="R57" s="16"/>
      <c r="S57" s="16"/>
      <c r="T57" s="16"/>
      <c r="U57" s="16"/>
      <c r="V57" s="16"/>
    </row>
    <row r="58" spans="3:22" x14ac:dyDescent="0.25">
      <c r="C58" s="16"/>
      <c r="D58" s="16"/>
      <c r="E58" s="16"/>
      <c r="F58" s="16"/>
      <c r="G58" s="16"/>
      <c r="H58" s="33"/>
      <c r="I58" s="16"/>
      <c r="J58" s="16"/>
      <c r="K58" s="16"/>
      <c r="L58" s="16"/>
      <c r="M58" s="16"/>
      <c r="N58" s="16"/>
      <c r="O58" s="16"/>
      <c r="P58" s="16"/>
      <c r="Q58" s="16"/>
      <c r="R58" s="16"/>
      <c r="S58" s="16"/>
      <c r="T58" s="16"/>
      <c r="U58" s="16"/>
      <c r="V58" s="16"/>
    </row>
    <row r="59" spans="3:22" x14ac:dyDescent="0.25">
      <c r="C59" s="16"/>
      <c r="D59" s="16"/>
      <c r="E59" s="16"/>
      <c r="F59" s="16"/>
      <c r="G59" s="16"/>
      <c r="H59" s="33"/>
      <c r="I59" s="16"/>
      <c r="J59" s="16"/>
      <c r="K59" s="16"/>
      <c r="L59" s="16"/>
      <c r="M59" s="16"/>
      <c r="N59" s="16"/>
      <c r="O59" s="16"/>
      <c r="P59" s="16"/>
      <c r="Q59" s="16"/>
      <c r="R59" s="16"/>
      <c r="S59" s="16"/>
      <c r="T59" s="16"/>
      <c r="U59" s="16"/>
      <c r="V59" s="16"/>
    </row>
    <row r="60" spans="3:22" x14ac:dyDescent="0.25">
      <c r="C60" s="16"/>
      <c r="D60" s="16"/>
      <c r="E60" s="16"/>
      <c r="F60" s="16"/>
      <c r="G60" s="16"/>
      <c r="H60" s="33"/>
      <c r="I60" s="16"/>
      <c r="J60" s="16"/>
      <c r="K60" s="16"/>
      <c r="L60" s="16"/>
      <c r="M60" s="16"/>
      <c r="N60" s="16"/>
      <c r="O60" s="16"/>
      <c r="P60" s="16"/>
      <c r="Q60" s="16"/>
      <c r="R60" s="16"/>
      <c r="S60" s="16"/>
      <c r="T60" s="16"/>
      <c r="U60" s="16"/>
      <c r="V60" s="16"/>
    </row>
    <row r="61" spans="3:22" x14ac:dyDescent="0.25">
      <c r="C61" s="16"/>
      <c r="D61" s="16"/>
      <c r="E61" s="16"/>
      <c r="F61" s="16"/>
      <c r="G61" s="16"/>
      <c r="H61" s="33"/>
      <c r="I61" s="16"/>
      <c r="J61" s="16"/>
      <c r="K61" s="16"/>
      <c r="L61" s="16"/>
      <c r="M61" s="16"/>
      <c r="N61" s="16"/>
      <c r="O61" s="16"/>
      <c r="P61" s="16"/>
      <c r="Q61" s="16"/>
      <c r="R61" s="16"/>
      <c r="S61" s="16"/>
      <c r="T61" s="16"/>
      <c r="U61" s="16"/>
      <c r="V61" s="16"/>
    </row>
    <row r="62" spans="3:22" x14ac:dyDescent="0.25">
      <c r="C62" s="16"/>
      <c r="D62" s="16"/>
      <c r="E62" s="16"/>
      <c r="F62" s="16"/>
      <c r="G62" s="16"/>
      <c r="H62" s="33"/>
      <c r="I62" s="16"/>
      <c r="J62" s="16"/>
      <c r="K62" s="16"/>
      <c r="L62" s="16"/>
      <c r="M62" s="16"/>
      <c r="N62" s="16"/>
      <c r="O62" s="16"/>
      <c r="P62" s="16"/>
      <c r="Q62" s="16"/>
      <c r="R62" s="16"/>
      <c r="S62" s="16"/>
      <c r="T62" s="16"/>
      <c r="U62" s="16"/>
      <c r="V62" s="16"/>
    </row>
    <row r="63" spans="3:22" x14ac:dyDescent="0.25">
      <c r="C63" s="16"/>
      <c r="D63" s="16"/>
      <c r="E63" s="16"/>
      <c r="F63" s="16"/>
      <c r="G63" s="16"/>
      <c r="H63" s="33"/>
      <c r="I63" s="16"/>
      <c r="J63" s="16"/>
      <c r="K63" s="16"/>
      <c r="L63" s="16"/>
      <c r="M63" s="16"/>
      <c r="N63" s="16"/>
      <c r="O63" s="16"/>
      <c r="P63" s="16"/>
      <c r="Q63" s="16"/>
      <c r="R63" s="16"/>
      <c r="S63" s="16"/>
      <c r="T63" s="16"/>
      <c r="U63" s="16"/>
      <c r="V63" s="16"/>
    </row>
    <row r="64" spans="3:22" ht="18" x14ac:dyDescent="0.25">
      <c r="C64" s="16"/>
      <c r="D64" s="21"/>
      <c r="E64" s="21"/>
      <c r="F64" s="22"/>
      <c r="G64" s="22"/>
      <c r="H64" s="35"/>
      <c r="I64" s="22"/>
      <c r="J64" s="22"/>
      <c r="K64" s="23"/>
      <c r="L64" s="23"/>
      <c r="M64" s="24"/>
      <c r="N64" s="25"/>
      <c r="O64" s="26"/>
      <c r="P64" s="27"/>
      <c r="Q64" s="27"/>
      <c r="R64" s="27"/>
      <c r="S64" s="16"/>
      <c r="T64" s="16"/>
      <c r="U64" s="16"/>
      <c r="V64" s="16"/>
    </row>
    <row r="65" spans="3:22" ht="18" x14ac:dyDescent="0.25">
      <c r="C65" s="16"/>
      <c r="D65" s="21"/>
      <c r="E65" s="28"/>
      <c r="F65" s="22"/>
      <c r="G65" s="22"/>
      <c r="H65" s="35"/>
      <c r="I65" s="22"/>
      <c r="J65" s="22"/>
      <c r="K65" s="23"/>
      <c r="L65" s="23"/>
      <c r="M65" s="29"/>
      <c r="N65" s="25"/>
      <c r="O65" s="26"/>
      <c r="P65" s="27"/>
      <c r="Q65" s="27"/>
      <c r="R65" s="27"/>
      <c r="S65" s="16"/>
      <c r="T65" s="16"/>
      <c r="U65" s="16"/>
      <c r="V65" s="16"/>
    </row>
    <row r="66" spans="3:22" x14ac:dyDescent="0.25">
      <c r="C66" s="16"/>
      <c r="D66" s="16"/>
      <c r="E66" s="16"/>
      <c r="F66" s="16"/>
      <c r="G66" s="16"/>
      <c r="H66" s="33"/>
      <c r="I66" s="16"/>
      <c r="J66" s="16"/>
      <c r="K66" s="16"/>
      <c r="L66" s="16"/>
      <c r="M66" s="16"/>
      <c r="N66" s="16"/>
      <c r="O66" s="16"/>
      <c r="P66" s="16"/>
      <c r="Q66" s="16"/>
      <c r="R66" s="20"/>
      <c r="S66" s="16"/>
      <c r="T66" s="16"/>
      <c r="U66" s="16"/>
      <c r="V66" s="16"/>
    </row>
    <row r="67" spans="3:22" x14ac:dyDescent="0.25">
      <c r="C67" s="16"/>
      <c r="D67" s="16"/>
      <c r="E67" s="16"/>
      <c r="F67" s="16"/>
      <c r="G67" s="16"/>
      <c r="H67" s="33"/>
      <c r="I67" s="16"/>
      <c r="J67" s="16"/>
      <c r="K67" s="16"/>
      <c r="L67" s="16"/>
      <c r="M67" s="16"/>
      <c r="N67" s="16"/>
      <c r="O67" s="16"/>
      <c r="P67" s="16"/>
      <c r="Q67" s="16"/>
      <c r="R67" s="16"/>
      <c r="S67" s="16"/>
      <c r="T67" s="16"/>
      <c r="U67" s="16"/>
      <c r="V67" s="16"/>
    </row>
    <row r="68" spans="3:22" x14ac:dyDescent="0.25">
      <c r="C68" s="16"/>
      <c r="D68" s="16"/>
      <c r="E68" s="16"/>
      <c r="F68" s="16"/>
      <c r="G68" s="16"/>
      <c r="H68" s="33"/>
      <c r="I68" s="16"/>
      <c r="J68" s="16"/>
      <c r="K68" s="16"/>
      <c r="L68" s="16"/>
      <c r="M68" s="16"/>
      <c r="N68" s="16"/>
      <c r="O68" s="16"/>
      <c r="P68" s="16"/>
      <c r="Q68" s="16"/>
      <c r="R68" s="16"/>
      <c r="S68" s="16"/>
      <c r="T68" s="16"/>
      <c r="U68" s="16"/>
      <c r="V68" s="16"/>
    </row>
    <row r="69" spans="3:22" x14ac:dyDescent="0.25">
      <c r="C69" s="16"/>
      <c r="D69" s="16"/>
      <c r="E69" s="16"/>
      <c r="F69" s="16"/>
      <c r="G69" s="16"/>
      <c r="H69" s="33"/>
      <c r="I69" s="16"/>
      <c r="J69" s="16"/>
      <c r="K69" s="16"/>
      <c r="L69" s="16"/>
      <c r="M69" s="16"/>
      <c r="N69" s="16"/>
      <c r="O69" s="16"/>
      <c r="P69" s="16"/>
      <c r="Q69" s="16"/>
      <c r="R69" s="16"/>
      <c r="S69" s="16"/>
      <c r="T69" s="16"/>
      <c r="U69" s="16"/>
      <c r="V69" s="16"/>
    </row>
    <row r="70" spans="3:22" x14ac:dyDescent="0.25">
      <c r="C70" s="16"/>
      <c r="D70" s="16"/>
      <c r="E70" s="16"/>
      <c r="F70" s="16"/>
      <c r="G70" s="16"/>
      <c r="H70" s="33"/>
      <c r="I70" s="16"/>
      <c r="J70" s="16"/>
      <c r="K70" s="16"/>
      <c r="L70" s="16"/>
      <c r="M70" s="16"/>
      <c r="N70" s="16"/>
      <c r="O70" s="16"/>
      <c r="P70" s="16"/>
      <c r="Q70" s="16"/>
      <c r="R70" s="16"/>
      <c r="S70" s="16"/>
      <c r="T70" s="16"/>
      <c r="U70" s="16"/>
      <c r="V70" s="16"/>
    </row>
    <row r="71" spans="3:22" x14ac:dyDescent="0.25">
      <c r="C71" s="16"/>
      <c r="D71" s="16"/>
      <c r="E71" s="16"/>
      <c r="F71" s="16"/>
      <c r="G71" s="16"/>
      <c r="H71" s="33"/>
      <c r="I71" s="16"/>
      <c r="J71" s="16"/>
      <c r="K71" s="16"/>
      <c r="L71" s="16"/>
      <c r="M71" s="16"/>
      <c r="N71" s="16"/>
      <c r="O71" s="16"/>
      <c r="P71" s="16"/>
      <c r="Q71" s="16"/>
      <c r="R71" s="16"/>
      <c r="S71" s="16"/>
      <c r="T71" s="16"/>
      <c r="U71" s="16"/>
      <c r="V71" s="16"/>
    </row>
    <row r="72" spans="3:22" s="32" customFormat="1" x14ac:dyDescent="0.25">
      <c r="C72" s="16"/>
      <c r="D72" s="16"/>
      <c r="E72" s="16"/>
      <c r="F72" s="16"/>
      <c r="G72" s="16"/>
      <c r="H72" s="33"/>
      <c r="I72" s="16"/>
      <c r="J72" s="16"/>
      <c r="K72" s="16"/>
      <c r="L72" s="16"/>
      <c r="M72" s="16"/>
      <c r="N72" s="16"/>
      <c r="O72" s="16"/>
      <c r="P72" s="16"/>
      <c r="Q72" s="16"/>
      <c r="R72" s="16"/>
      <c r="S72" s="16"/>
      <c r="T72" s="16"/>
      <c r="U72" s="16"/>
      <c r="V72" s="16"/>
    </row>
    <row r="73" spans="3:22" s="32" customFormat="1" x14ac:dyDescent="0.25">
      <c r="C73" s="16"/>
      <c r="D73" s="16"/>
      <c r="E73" s="16"/>
      <c r="F73" s="16"/>
      <c r="G73" s="16"/>
      <c r="H73" s="33"/>
      <c r="I73" s="16"/>
      <c r="J73" s="16"/>
      <c r="K73" s="16"/>
      <c r="L73" s="16"/>
      <c r="M73" s="16"/>
      <c r="N73" s="16"/>
      <c r="O73" s="16"/>
      <c r="P73" s="16"/>
      <c r="Q73" s="16"/>
      <c r="R73" s="16"/>
      <c r="S73" s="16"/>
      <c r="T73" s="16"/>
      <c r="U73" s="16"/>
      <c r="V73" s="16"/>
    </row>
    <row r="74" spans="3:22" s="32" customFormat="1" x14ac:dyDescent="0.25">
      <c r="C74" s="16"/>
      <c r="D74" s="16"/>
      <c r="E74" s="16"/>
      <c r="F74" s="16"/>
      <c r="G74" s="16"/>
      <c r="H74" s="33"/>
      <c r="I74" s="16"/>
      <c r="J74" s="16"/>
      <c r="K74" s="16"/>
      <c r="L74" s="16"/>
      <c r="M74" s="16"/>
      <c r="N74" s="16"/>
      <c r="O74" s="16"/>
      <c r="P74" s="16"/>
      <c r="Q74" s="16"/>
      <c r="R74" s="16"/>
      <c r="S74" s="16"/>
      <c r="T74" s="16"/>
      <c r="U74" s="16"/>
      <c r="V74" s="16"/>
    </row>
    <row r="75" spans="3:22" s="32" customFormat="1" x14ac:dyDescent="0.25">
      <c r="C75" s="16"/>
      <c r="D75" s="16"/>
      <c r="E75" s="16"/>
      <c r="F75" s="16"/>
      <c r="G75" s="16"/>
      <c r="H75" s="33"/>
      <c r="I75" s="16"/>
      <c r="J75" s="16"/>
      <c r="K75" s="16"/>
      <c r="L75" s="16"/>
      <c r="M75" s="16"/>
      <c r="N75" s="16"/>
      <c r="O75" s="16"/>
      <c r="P75" s="16"/>
      <c r="Q75" s="16"/>
      <c r="R75" s="16"/>
      <c r="S75" s="16"/>
      <c r="T75" s="16"/>
      <c r="U75" s="16"/>
      <c r="V75" s="16"/>
    </row>
    <row r="76" spans="3:22" x14ac:dyDescent="0.25">
      <c r="C76" s="16"/>
      <c r="D76" s="16"/>
      <c r="E76" s="16"/>
      <c r="F76" s="16"/>
      <c r="G76" s="16"/>
      <c r="H76" s="33"/>
      <c r="I76" s="16"/>
      <c r="J76" s="16"/>
      <c r="K76" s="16"/>
      <c r="L76" s="16"/>
      <c r="M76" s="16"/>
      <c r="N76" s="16"/>
      <c r="O76" s="16"/>
      <c r="P76" s="16"/>
      <c r="Q76" s="16"/>
      <c r="R76" s="16"/>
      <c r="S76" s="16"/>
      <c r="T76" s="16"/>
      <c r="U76" s="16"/>
      <c r="V76" s="16"/>
    </row>
    <row r="77" spans="3:22" x14ac:dyDescent="0.25">
      <c r="C77" s="16"/>
      <c r="D77" s="16"/>
      <c r="E77" s="16"/>
      <c r="F77" s="16"/>
      <c r="G77" s="16"/>
      <c r="H77" s="33"/>
      <c r="I77" s="16"/>
      <c r="J77" s="16"/>
      <c r="K77" s="16"/>
      <c r="L77" s="16"/>
      <c r="M77" s="16"/>
      <c r="N77" s="16"/>
      <c r="O77" s="16"/>
      <c r="P77" s="16"/>
      <c r="Q77" s="16"/>
      <c r="R77" s="16"/>
      <c r="S77" s="16"/>
      <c r="T77" s="16"/>
      <c r="U77" s="16"/>
      <c r="V77" s="16"/>
    </row>
    <row r="78" spans="3:22" x14ac:dyDescent="0.25">
      <c r="C78" s="16"/>
      <c r="D78" s="16"/>
      <c r="E78" s="16"/>
      <c r="F78" s="16"/>
      <c r="G78" s="16"/>
      <c r="H78" s="33"/>
      <c r="I78" s="16"/>
      <c r="J78" s="16"/>
      <c r="K78" s="16"/>
      <c r="L78" s="16"/>
      <c r="M78" s="16"/>
      <c r="N78" s="16"/>
      <c r="O78" s="16"/>
      <c r="P78" s="16"/>
      <c r="Q78" s="16"/>
      <c r="R78" s="16"/>
      <c r="S78" s="16"/>
      <c r="T78" s="16"/>
      <c r="U78" s="16"/>
      <c r="V78" s="16"/>
    </row>
    <row r="79" spans="3:22" x14ac:dyDescent="0.25">
      <c r="C79" s="16"/>
      <c r="D79" s="16"/>
      <c r="E79" s="16"/>
      <c r="F79" s="16"/>
      <c r="G79" s="16"/>
      <c r="H79" s="33"/>
      <c r="I79" s="16"/>
      <c r="J79" s="16"/>
      <c r="K79" s="16"/>
      <c r="L79" s="16"/>
      <c r="M79" s="16"/>
      <c r="N79" s="16"/>
      <c r="O79" s="16"/>
      <c r="P79" s="16"/>
      <c r="Q79" s="16"/>
      <c r="R79" s="16"/>
      <c r="S79" s="16"/>
      <c r="T79" s="16"/>
      <c r="U79" s="16"/>
      <c r="V79" s="16"/>
    </row>
    <row r="80" spans="3:22" x14ac:dyDescent="0.25">
      <c r="C80" s="16"/>
      <c r="D80" s="16"/>
      <c r="E80" s="16"/>
      <c r="F80" s="16"/>
      <c r="G80" s="16"/>
      <c r="H80" s="33"/>
      <c r="I80" s="16"/>
      <c r="J80" s="16"/>
      <c r="K80" s="16"/>
      <c r="L80" s="16"/>
      <c r="M80" s="16"/>
      <c r="N80" s="16"/>
      <c r="O80" s="16"/>
      <c r="P80" s="16"/>
      <c r="Q80" s="16"/>
      <c r="R80" s="16"/>
      <c r="S80" s="16"/>
      <c r="T80" s="16"/>
      <c r="U80" s="16"/>
      <c r="V80" s="16"/>
    </row>
    <row r="81" spans="3:22" x14ac:dyDescent="0.25">
      <c r="C81" s="16"/>
      <c r="D81" s="16"/>
      <c r="E81" s="16"/>
      <c r="F81" s="16"/>
      <c r="G81" s="16"/>
      <c r="H81" s="33"/>
      <c r="I81" s="16"/>
      <c r="J81" s="16"/>
      <c r="K81" s="16"/>
      <c r="L81" s="16"/>
      <c r="M81" s="16"/>
      <c r="N81" s="16"/>
      <c r="O81" s="16"/>
      <c r="P81" s="16"/>
      <c r="Q81" s="16"/>
      <c r="R81" s="16"/>
      <c r="S81" s="16"/>
      <c r="T81" s="16"/>
      <c r="U81" s="16"/>
      <c r="V81" s="16"/>
    </row>
    <row r="82" spans="3:22" x14ac:dyDescent="0.25">
      <c r="C82" s="16"/>
      <c r="D82" s="16"/>
      <c r="E82" s="16"/>
      <c r="F82" s="16"/>
      <c r="G82" s="16"/>
      <c r="H82" s="33"/>
      <c r="I82" s="16"/>
      <c r="J82" s="16"/>
      <c r="K82" s="16"/>
      <c r="L82" s="16"/>
      <c r="M82" s="16"/>
      <c r="N82" s="16"/>
      <c r="O82" s="16"/>
      <c r="P82" s="16"/>
      <c r="Q82" s="16"/>
      <c r="R82" s="16"/>
      <c r="S82" s="16"/>
      <c r="T82" s="16"/>
      <c r="U82" s="16"/>
      <c r="V82" s="16"/>
    </row>
    <row r="83" spans="3:22" x14ac:dyDescent="0.25">
      <c r="C83" s="16"/>
      <c r="D83" s="16"/>
      <c r="E83" s="16"/>
      <c r="F83" s="16"/>
      <c r="G83" s="16"/>
      <c r="H83" s="33"/>
      <c r="I83" s="16"/>
      <c r="J83" s="16"/>
      <c r="K83" s="16"/>
      <c r="L83" s="16"/>
      <c r="M83" s="16"/>
      <c r="N83" s="16"/>
      <c r="O83" s="16"/>
      <c r="P83" s="16"/>
      <c r="Q83" s="16"/>
      <c r="R83" s="16"/>
      <c r="S83" s="16"/>
      <c r="T83" s="16"/>
      <c r="U83" s="16"/>
      <c r="V83" s="16"/>
    </row>
    <row r="84" spans="3:22" x14ac:dyDescent="0.25">
      <c r="C84" s="16"/>
      <c r="D84" s="16"/>
      <c r="E84" s="16"/>
      <c r="F84" s="16"/>
      <c r="G84" s="16"/>
      <c r="H84" s="33"/>
      <c r="I84" s="16"/>
      <c r="J84" s="16"/>
      <c r="K84" s="16"/>
      <c r="L84" s="16"/>
      <c r="M84" s="16"/>
      <c r="N84" s="16"/>
      <c r="O84" s="16"/>
      <c r="P84" s="16"/>
      <c r="Q84" s="16"/>
      <c r="R84" s="16"/>
      <c r="S84" s="16"/>
      <c r="T84" s="16"/>
      <c r="U84" s="16"/>
      <c r="V84" s="16"/>
    </row>
    <row r="85" spans="3:22" x14ac:dyDescent="0.25">
      <c r="C85" s="16"/>
      <c r="D85" s="16"/>
      <c r="E85" s="16"/>
      <c r="F85" s="16"/>
      <c r="G85" s="16"/>
      <c r="H85" s="33"/>
      <c r="I85" s="16"/>
      <c r="J85" s="16"/>
      <c r="K85" s="16"/>
      <c r="L85" s="16"/>
      <c r="M85" s="16"/>
      <c r="N85" s="16"/>
      <c r="O85" s="16"/>
      <c r="P85" s="16"/>
      <c r="Q85" s="16"/>
      <c r="R85" s="16"/>
      <c r="S85" s="16"/>
      <c r="T85" s="16"/>
      <c r="U85" s="16"/>
      <c r="V85" s="16"/>
    </row>
    <row r="86" spans="3:22" x14ac:dyDescent="0.25">
      <c r="C86" s="16"/>
      <c r="D86" s="16"/>
      <c r="E86" s="16"/>
      <c r="F86" s="16"/>
      <c r="G86" s="16"/>
      <c r="H86" s="33"/>
      <c r="I86" s="16"/>
      <c r="J86" s="16"/>
      <c r="K86" s="16"/>
      <c r="L86" s="16"/>
      <c r="M86" s="16"/>
      <c r="N86" s="16"/>
      <c r="O86" s="16"/>
      <c r="P86" s="16"/>
      <c r="Q86" s="16"/>
      <c r="R86" s="16"/>
      <c r="S86" s="16"/>
      <c r="T86" s="16"/>
      <c r="U86" s="16"/>
      <c r="V86" s="16"/>
    </row>
    <row r="87" spans="3:22" x14ac:dyDescent="0.25">
      <c r="C87" s="16"/>
      <c r="D87" s="16"/>
      <c r="E87" s="16"/>
      <c r="F87" s="16"/>
      <c r="G87" s="16"/>
      <c r="H87" s="33"/>
      <c r="I87" s="16"/>
      <c r="J87" s="16"/>
      <c r="K87" s="16"/>
      <c r="L87" s="16"/>
      <c r="M87" s="16"/>
      <c r="N87" s="16"/>
      <c r="O87" s="16"/>
      <c r="P87" s="16"/>
      <c r="Q87" s="16"/>
      <c r="R87" s="16"/>
      <c r="S87" s="16"/>
      <c r="T87" s="16"/>
      <c r="U87" s="16"/>
      <c r="V87" s="16"/>
    </row>
    <row r="88" spans="3:22" x14ac:dyDescent="0.25">
      <c r="C88" s="16"/>
      <c r="D88" s="16"/>
      <c r="E88" s="16"/>
      <c r="F88" s="16"/>
      <c r="G88" s="16"/>
      <c r="H88" s="33"/>
      <c r="I88" s="16"/>
      <c r="J88" s="16"/>
      <c r="K88" s="16"/>
      <c r="L88" s="16"/>
      <c r="M88" s="16"/>
      <c r="N88" s="16"/>
      <c r="O88" s="16"/>
      <c r="P88" s="16"/>
      <c r="Q88" s="16"/>
      <c r="R88" s="16"/>
      <c r="S88" s="16"/>
      <c r="T88" s="16"/>
      <c r="U88" s="16"/>
      <c r="V88" s="16"/>
    </row>
    <row r="89" spans="3:22" x14ac:dyDescent="0.25">
      <c r="C89" s="16"/>
      <c r="D89" s="16"/>
      <c r="E89" s="16"/>
      <c r="F89" s="16"/>
      <c r="G89" s="16"/>
      <c r="H89" s="33"/>
      <c r="I89" s="16"/>
      <c r="J89" s="16"/>
      <c r="K89" s="16"/>
      <c r="L89" s="16"/>
      <c r="M89" s="16"/>
      <c r="N89" s="16"/>
      <c r="O89" s="16"/>
      <c r="P89" s="16"/>
      <c r="Q89" s="16"/>
      <c r="R89" s="16"/>
      <c r="S89" s="16"/>
      <c r="T89" s="16"/>
      <c r="U89" s="16"/>
      <c r="V89" s="16"/>
    </row>
    <row r="90" spans="3:22" x14ac:dyDescent="0.25">
      <c r="C90" s="32"/>
      <c r="D90" s="32"/>
      <c r="E90" s="32"/>
      <c r="F90" s="32"/>
      <c r="G90" s="32"/>
      <c r="H90" s="36"/>
      <c r="I90" s="32"/>
      <c r="J90" s="32"/>
      <c r="K90" s="32"/>
      <c r="L90" s="32"/>
      <c r="M90" s="32"/>
      <c r="N90" s="32"/>
      <c r="O90" s="32"/>
      <c r="P90" s="32"/>
      <c r="Q90" s="32"/>
      <c r="R90" s="32"/>
      <c r="S90" s="32"/>
      <c r="T90" s="32"/>
      <c r="U90" s="32"/>
      <c r="V90" s="32"/>
    </row>
    <row r="91" spans="3:22" x14ac:dyDescent="0.25">
      <c r="C91" s="32"/>
      <c r="D91" s="32"/>
      <c r="E91" s="32"/>
      <c r="F91" s="32"/>
      <c r="G91" s="32"/>
      <c r="H91" s="36"/>
      <c r="I91" s="32"/>
      <c r="J91" s="32"/>
      <c r="K91" s="32"/>
      <c r="L91" s="32"/>
      <c r="M91" s="32"/>
      <c r="N91" s="32"/>
      <c r="O91" s="32"/>
      <c r="P91" s="32"/>
      <c r="Q91" s="32"/>
      <c r="R91" s="32"/>
      <c r="S91" s="32"/>
      <c r="T91" s="32"/>
      <c r="U91" s="32"/>
      <c r="V91" s="32"/>
    </row>
    <row r="92" spans="3:22" x14ac:dyDescent="0.25">
      <c r="C92" s="32"/>
      <c r="D92" s="32"/>
      <c r="E92" s="32"/>
      <c r="F92" s="32"/>
      <c r="G92" s="32"/>
      <c r="H92" s="36"/>
      <c r="I92" s="32"/>
      <c r="J92" s="32"/>
      <c r="K92" s="32"/>
      <c r="L92" s="32"/>
      <c r="M92" s="32"/>
      <c r="N92" s="32"/>
      <c r="O92" s="32"/>
      <c r="P92" s="32"/>
      <c r="Q92" s="32"/>
      <c r="R92" s="32"/>
      <c r="S92" s="32"/>
      <c r="T92" s="32"/>
      <c r="U92" s="32"/>
      <c r="V92" s="32"/>
    </row>
    <row r="93" spans="3:22" x14ac:dyDescent="0.25">
      <c r="C93" s="32"/>
      <c r="D93" s="32"/>
      <c r="E93" s="32"/>
      <c r="F93" s="32"/>
      <c r="G93" s="32"/>
      <c r="H93" s="36"/>
      <c r="I93" s="32"/>
      <c r="J93" s="32"/>
      <c r="K93" s="32"/>
      <c r="L93" s="32"/>
      <c r="M93" s="32"/>
      <c r="N93" s="32"/>
      <c r="O93" s="32"/>
      <c r="P93" s="32"/>
      <c r="Q93" s="32"/>
      <c r="R93" s="32"/>
      <c r="S93" s="32"/>
      <c r="T93" s="32"/>
      <c r="U93" s="32"/>
      <c r="V93" s="32"/>
    </row>
    <row r="94" spans="3:22" x14ac:dyDescent="0.25">
      <c r="C94" s="32"/>
      <c r="D94" s="32"/>
      <c r="E94" s="32"/>
      <c r="F94" s="32"/>
      <c r="G94" s="32"/>
      <c r="H94" s="36"/>
      <c r="I94" s="32"/>
      <c r="J94" s="32"/>
      <c r="K94" s="32"/>
      <c r="L94" s="32"/>
      <c r="M94" s="32"/>
      <c r="N94" s="32"/>
      <c r="O94" s="32"/>
      <c r="P94" s="32"/>
      <c r="Q94" s="32"/>
      <c r="R94" s="32"/>
      <c r="S94" s="32"/>
      <c r="T94" s="32"/>
      <c r="U94" s="32"/>
      <c r="V94" s="32"/>
    </row>
    <row r="95" spans="3:22" x14ac:dyDescent="0.25">
      <c r="C95" s="32"/>
      <c r="D95" s="32"/>
      <c r="E95" s="32"/>
      <c r="F95" s="32"/>
      <c r="G95" s="32"/>
      <c r="H95" s="36"/>
      <c r="I95" s="32"/>
      <c r="J95" s="32"/>
      <c r="K95" s="32"/>
      <c r="L95" s="32"/>
      <c r="M95" s="32"/>
      <c r="N95" s="32"/>
      <c r="O95" s="32"/>
      <c r="P95" s="32"/>
      <c r="Q95" s="32"/>
      <c r="R95" s="32"/>
      <c r="S95" s="32"/>
      <c r="T95" s="32"/>
      <c r="U95" s="32"/>
      <c r="V95" s="32"/>
    </row>
    <row r="96" spans="3:22" x14ac:dyDescent="0.25">
      <c r="C96" s="32"/>
      <c r="D96" s="32"/>
      <c r="E96" s="32"/>
      <c r="F96" s="32"/>
      <c r="G96" s="32"/>
      <c r="H96" s="36"/>
      <c r="I96" s="32"/>
      <c r="J96" s="32"/>
      <c r="K96" s="32"/>
      <c r="L96" s="32"/>
      <c r="M96" s="32"/>
      <c r="N96" s="32"/>
      <c r="O96" s="32"/>
      <c r="P96" s="32"/>
      <c r="Q96" s="32"/>
      <c r="R96" s="32"/>
      <c r="S96" s="32"/>
      <c r="T96" s="32"/>
      <c r="U96" s="32"/>
      <c r="V96" s="32"/>
    </row>
    <row r="97" spans="3:22" x14ac:dyDescent="0.25">
      <c r="C97" s="32"/>
      <c r="D97" s="32"/>
      <c r="E97" s="32"/>
      <c r="F97" s="32"/>
      <c r="G97" s="32"/>
      <c r="H97" s="36"/>
      <c r="I97" s="32"/>
      <c r="J97" s="32"/>
      <c r="K97" s="32"/>
      <c r="L97" s="32"/>
      <c r="M97" s="32"/>
      <c r="N97" s="32"/>
      <c r="O97" s="32"/>
      <c r="P97" s="32"/>
      <c r="Q97" s="32"/>
      <c r="R97" s="32"/>
      <c r="S97" s="32"/>
      <c r="T97" s="32"/>
      <c r="U97" s="32"/>
      <c r="V97" s="32"/>
    </row>
    <row r="98" spans="3:22" x14ac:dyDescent="0.25">
      <c r="C98" s="32"/>
      <c r="D98" s="32"/>
      <c r="E98" s="32"/>
      <c r="F98" s="32"/>
      <c r="G98" s="32"/>
      <c r="H98" s="36"/>
      <c r="I98" s="32"/>
      <c r="J98" s="32"/>
      <c r="K98" s="32"/>
      <c r="L98" s="32"/>
      <c r="M98" s="32"/>
      <c r="N98" s="32"/>
      <c r="O98" s="32"/>
      <c r="P98" s="32"/>
      <c r="Q98" s="32"/>
      <c r="R98" s="32"/>
      <c r="S98" s="32"/>
      <c r="T98" s="32"/>
      <c r="U98" s="32"/>
      <c r="V98" s="32"/>
    </row>
    <row r="99" spans="3:22" x14ac:dyDescent="0.25">
      <c r="C99" s="32"/>
      <c r="D99" s="32"/>
      <c r="E99" s="32"/>
      <c r="F99" s="32"/>
      <c r="G99" s="32"/>
      <c r="H99" s="36"/>
      <c r="I99" s="32"/>
      <c r="J99" s="32"/>
      <c r="K99" s="32"/>
      <c r="L99" s="32"/>
      <c r="M99" s="32"/>
      <c r="N99" s="32"/>
      <c r="O99" s="32"/>
      <c r="P99" s="32"/>
      <c r="Q99" s="32"/>
      <c r="R99" s="32"/>
      <c r="S99" s="32"/>
      <c r="T99" s="32"/>
      <c r="U99" s="32"/>
      <c r="V99" s="32"/>
    </row>
    <row r="100" spans="3:22" x14ac:dyDescent="0.25">
      <c r="C100" s="32"/>
      <c r="D100" s="32"/>
      <c r="E100" s="32"/>
      <c r="F100" s="32"/>
      <c r="G100" s="32"/>
      <c r="H100" s="36"/>
      <c r="I100" s="32"/>
      <c r="J100" s="32"/>
      <c r="K100" s="32"/>
      <c r="L100" s="32"/>
      <c r="M100" s="32"/>
      <c r="N100" s="32"/>
      <c r="O100" s="32"/>
      <c r="P100" s="32"/>
      <c r="Q100" s="32"/>
      <c r="R100" s="32"/>
      <c r="S100" s="32"/>
      <c r="T100" s="32"/>
      <c r="U100" s="32"/>
      <c r="V100" s="32"/>
    </row>
    <row r="101" spans="3:22" x14ac:dyDescent="0.25">
      <c r="C101" s="32"/>
      <c r="D101" s="32"/>
      <c r="E101" s="32"/>
      <c r="F101" s="32"/>
      <c r="G101" s="32"/>
      <c r="H101" s="36"/>
      <c r="I101" s="32"/>
      <c r="J101" s="32"/>
      <c r="K101" s="32"/>
      <c r="L101" s="32"/>
      <c r="M101" s="32"/>
      <c r="N101" s="32"/>
      <c r="O101" s="32"/>
      <c r="P101" s="32"/>
      <c r="Q101" s="32"/>
      <c r="R101" s="32"/>
      <c r="S101" s="32"/>
      <c r="T101" s="32"/>
      <c r="U101" s="32"/>
      <c r="V101" s="32"/>
    </row>
    <row r="102" spans="3:22" x14ac:dyDescent="0.25">
      <c r="C102" s="32"/>
      <c r="D102" s="32"/>
      <c r="E102" s="32"/>
      <c r="F102" s="32"/>
      <c r="G102" s="32"/>
      <c r="H102" s="36"/>
      <c r="I102" s="32"/>
      <c r="J102" s="32"/>
      <c r="K102" s="32"/>
      <c r="L102" s="32"/>
      <c r="M102" s="32"/>
      <c r="N102" s="32"/>
      <c r="O102" s="32"/>
      <c r="P102" s="32"/>
      <c r="Q102" s="32"/>
      <c r="R102" s="32"/>
      <c r="S102" s="32"/>
      <c r="T102" s="32"/>
      <c r="U102" s="32"/>
      <c r="V102" s="32"/>
    </row>
    <row r="103" spans="3:22" x14ac:dyDescent="0.25">
      <c r="C103" s="32"/>
      <c r="D103" s="32"/>
      <c r="E103" s="32"/>
      <c r="F103" s="32"/>
      <c r="G103" s="32"/>
      <c r="H103" s="36"/>
      <c r="I103" s="32"/>
      <c r="J103" s="32"/>
      <c r="K103" s="32"/>
      <c r="L103" s="32"/>
      <c r="M103" s="32"/>
      <c r="N103" s="32"/>
      <c r="O103" s="32"/>
      <c r="P103" s="32"/>
      <c r="Q103" s="32"/>
      <c r="R103" s="32"/>
      <c r="S103" s="32"/>
      <c r="T103" s="32"/>
      <c r="U103" s="32"/>
      <c r="V103" s="32"/>
    </row>
    <row r="104" spans="3:22" x14ac:dyDescent="0.25">
      <c r="C104" s="32"/>
      <c r="D104" s="32"/>
      <c r="E104" s="32"/>
      <c r="F104" s="32"/>
      <c r="G104" s="32"/>
      <c r="H104" s="36"/>
      <c r="I104" s="32"/>
      <c r="J104" s="32"/>
      <c r="K104" s="32"/>
      <c r="L104" s="32"/>
      <c r="M104" s="32"/>
      <c r="N104" s="32"/>
      <c r="O104" s="32"/>
      <c r="P104" s="32"/>
      <c r="Q104" s="32"/>
      <c r="R104" s="32"/>
      <c r="S104" s="32"/>
      <c r="T104" s="32"/>
      <c r="U104" s="32"/>
      <c r="V104" s="32"/>
    </row>
    <row r="105" spans="3:22" x14ac:dyDescent="0.25">
      <c r="C105" s="32"/>
      <c r="D105" s="32"/>
      <c r="E105" s="32"/>
      <c r="F105" s="32"/>
      <c r="G105" s="32"/>
      <c r="H105" s="36"/>
      <c r="I105" s="32"/>
      <c r="J105" s="32"/>
      <c r="K105" s="32"/>
      <c r="L105" s="32"/>
      <c r="M105" s="32"/>
      <c r="N105" s="32"/>
      <c r="O105" s="32"/>
      <c r="P105" s="32"/>
      <c r="Q105" s="32"/>
      <c r="R105" s="32"/>
      <c r="S105" s="32"/>
      <c r="T105" s="32"/>
      <c r="U105" s="32"/>
      <c r="V105" s="32"/>
    </row>
    <row r="106" spans="3:22" x14ac:dyDescent="0.25">
      <c r="C106" s="32"/>
      <c r="D106" s="32"/>
      <c r="E106" s="32"/>
      <c r="F106" s="32"/>
      <c r="G106" s="32"/>
      <c r="H106" s="36"/>
      <c r="I106" s="32"/>
      <c r="J106" s="32"/>
      <c r="K106" s="32"/>
      <c r="L106" s="32"/>
      <c r="M106" s="32"/>
      <c r="N106" s="32"/>
      <c r="O106" s="32"/>
      <c r="P106" s="32"/>
      <c r="Q106" s="32"/>
      <c r="R106" s="32"/>
      <c r="S106" s="32"/>
      <c r="T106" s="32"/>
      <c r="U106" s="32"/>
      <c r="V106" s="32"/>
    </row>
    <row r="107" spans="3:22" x14ac:dyDescent="0.25">
      <c r="C107" s="32"/>
      <c r="D107" s="32"/>
      <c r="E107" s="32"/>
      <c r="F107" s="32"/>
      <c r="G107" s="32"/>
      <c r="H107" s="36"/>
      <c r="I107" s="32"/>
      <c r="J107" s="32"/>
      <c r="K107" s="32"/>
      <c r="L107" s="32"/>
      <c r="M107" s="32"/>
      <c r="N107" s="32"/>
      <c r="O107" s="32"/>
      <c r="P107" s="32"/>
      <c r="Q107" s="32"/>
      <c r="R107" s="32"/>
      <c r="S107" s="32"/>
      <c r="T107" s="32"/>
      <c r="U107" s="32"/>
      <c r="V107" s="32"/>
    </row>
    <row r="108" spans="3:22" x14ac:dyDescent="0.25">
      <c r="C108" s="32"/>
      <c r="D108" s="32"/>
      <c r="E108" s="32"/>
      <c r="F108" s="32"/>
      <c r="G108" s="32"/>
      <c r="H108" s="36"/>
      <c r="I108" s="32"/>
      <c r="J108" s="32"/>
      <c r="K108" s="32"/>
      <c r="L108" s="32"/>
      <c r="M108" s="32"/>
      <c r="N108" s="32"/>
      <c r="O108" s="32"/>
      <c r="P108" s="32"/>
      <c r="Q108" s="32"/>
      <c r="R108" s="32"/>
      <c r="S108" s="32"/>
      <c r="T108" s="32"/>
      <c r="U108" s="32"/>
      <c r="V108" s="32"/>
    </row>
  </sheetData>
  <sheetProtection sort="0"/>
  <mergeCells count="8">
    <mergeCell ref="E56:H56"/>
    <mergeCell ref="O56:R56"/>
    <mergeCell ref="J56:N56"/>
    <mergeCell ref="Q1:S1"/>
    <mergeCell ref="J49:N49"/>
    <mergeCell ref="J2:M2"/>
    <mergeCell ref="D5:K5"/>
    <mergeCell ref="M5:T5"/>
  </mergeCells>
  <conditionalFormatting sqref="D7:D27 T7:T27">
    <cfRule type="containsText" dxfId="27" priority="12" operator="containsText" text="Short Buildup">
      <formula>NOT(ISERROR(SEARCH("Short Buildup",D7)))</formula>
    </cfRule>
    <cfRule type="containsText" dxfId="26" priority="13" operator="containsText" text="Long Liquidation">
      <formula>NOT(ISERROR(SEARCH("Long Liquidation",D7)))</formula>
    </cfRule>
    <cfRule type="containsText" dxfId="25" priority="14" operator="containsText" text="Short covering">
      <formula>NOT(ISERROR(SEARCH("Short covering",D7)))</formula>
    </cfRule>
    <cfRule type="containsText" dxfId="24" priority="15" operator="containsText" text="Long Buildup">
      <formula>NOT(ISERROR(SEARCH("Long Buildup",D7)))</formula>
    </cfRule>
  </conditionalFormatting>
  <conditionalFormatting sqref="E7:F27 R7:S27">
    <cfRule type="containsText" dxfId="23" priority="11" operator="containsText" text="DOWN">
      <formula>NOT(ISERROR(SEARCH("DOWN",E7)))</formula>
    </cfRule>
  </conditionalFormatting>
  <conditionalFormatting sqref="E7:F27 R7:S27">
    <cfRule type="containsText" dxfId="22" priority="10" operator="containsText" text="UP">
      <formula>NOT(ISERROR(SEARCH("UP",E7)))</formula>
    </cfRule>
  </conditionalFormatting>
  <conditionalFormatting sqref="J7:J27">
    <cfRule type="colorScale" priority="9">
      <colorScale>
        <cfvo type="min"/>
        <cfvo type="max"/>
        <color rgb="FFFFEF9C"/>
        <color rgb="FF63BE7B"/>
      </colorScale>
    </cfRule>
  </conditionalFormatting>
  <conditionalFormatting sqref="N7:N27">
    <cfRule type="colorScale" priority="8">
      <colorScale>
        <cfvo type="min"/>
        <cfvo type="max"/>
        <color rgb="FFFF7128"/>
        <color rgb="FFFFEF9C"/>
      </colorScale>
    </cfRule>
  </conditionalFormatting>
  <conditionalFormatting sqref="Q7:Q27">
    <cfRule type="dataBar" priority="7">
      <dataBar>
        <cfvo type="min"/>
        <cfvo type="max"/>
        <color rgb="FFFF555A"/>
      </dataBar>
    </cfRule>
  </conditionalFormatting>
  <conditionalFormatting sqref="G7:G27">
    <cfRule type="dataBar" priority="6">
      <dataBar>
        <cfvo type="min"/>
        <cfvo type="max"/>
        <color rgb="FFFF555A"/>
      </dataBar>
    </cfRule>
  </conditionalFormatting>
  <conditionalFormatting sqref="H7:H27">
    <cfRule type="cellIs" dxfId="21" priority="4" operator="equal">
      <formula>$F$110</formula>
    </cfRule>
  </conditionalFormatting>
  <conditionalFormatting sqref="P7:P27">
    <cfRule type="cellIs" dxfId="20" priority="3" operator="equal">
      <formula>$H$110</formula>
    </cfRule>
  </conditionalFormatting>
  <conditionalFormatting sqref="I7:I27">
    <cfRule type="cellIs" dxfId="19" priority="2" operator="equal">
      <formula>$F$112</formula>
    </cfRule>
  </conditionalFormatting>
  <conditionalFormatting sqref="O7:O27">
    <cfRule type="cellIs" dxfId="18" priority="1" operator="equal">
      <formula>$H$112</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C3C94-58D8-47C6-9F3C-3D2CEB38A34F}">
  <sheetPr codeName="Sheet3"/>
  <dimension ref="A1:A15"/>
  <sheetViews>
    <sheetView workbookViewId="0">
      <selection activeCell="A24" sqref="A24"/>
    </sheetView>
  </sheetViews>
  <sheetFormatPr defaultRowHeight="15" x14ac:dyDescent="0.25"/>
  <cols>
    <col min="1" max="1" width="174.140625" bestFit="1" customWidth="1"/>
  </cols>
  <sheetData>
    <row r="1" spans="1:1" x14ac:dyDescent="0.25">
      <c r="A1" s="55" t="s">
        <v>58</v>
      </c>
    </row>
    <row r="2" spans="1:1" x14ac:dyDescent="0.25">
      <c r="A2" t="s">
        <v>56</v>
      </c>
    </row>
    <row r="3" spans="1:1" x14ac:dyDescent="0.25">
      <c r="A3" t="s">
        <v>57</v>
      </c>
    </row>
    <row r="5" spans="1:1" x14ac:dyDescent="0.25">
      <c r="A5" s="55" t="s">
        <v>59</v>
      </c>
    </row>
    <row r="6" spans="1:1" x14ac:dyDescent="0.25">
      <c r="A6" t="s">
        <v>60</v>
      </c>
    </row>
    <row r="7" spans="1:1" x14ac:dyDescent="0.25">
      <c r="A7" t="s">
        <v>61</v>
      </c>
    </row>
    <row r="8" spans="1:1" x14ac:dyDescent="0.25">
      <c r="A8" t="s">
        <v>62</v>
      </c>
    </row>
    <row r="9" spans="1:1" x14ac:dyDescent="0.25">
      <c r="A9" t="s">
        <v>63</v>
      </c>
    </row>
    <row r="11" spans="1:1" x14ac:dyDescent="0.25">
      <c r="A11" s="55" t="s">
        <v>64</v>
      </c>
    </row>
    <row r="12" spans="1:1" x14ac:dyDescent="0.25">
      <c r="A12" t="s">
        <v>68</v>
      </c>
    </row>
    <row r="13" spans="1:1" ht="30" x14ac:dyDescent="0.25">
      <c r="A13" s="56" t="s">
        <v>66</v>
      </c>
    </row>
    <row r="14" spans="1:1" x14ac:dyDescent="0.25">
      <c r="A14" t="s">
        <v>65</v>
      </c>
    </row>
    <row r="15" spans="1:1" x14ac:dyDescent="0.25">
      <c r="A15" t="s">
        <v>67</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93ACD-E4CE-44B4-B284-F08C0E04F486}">
  <sheetPr codeName="Sheet2"/>
  <dimension ref="A1:CD103"/>
  <sheetViews>
    <sheetView topLeftCell="W1" workbookViewId="0">
      <selection activeCell="P44" sqref="P44"/>
    </sheetView>
  </sheetViews>
  <sheetFormatPr defaultRowHeight="15" x14ac:dyDescent="0.25"/>
  <cols>
    <col min="1" max="2" width="9.28515625" bestFit="1" customWidth="1"/>
    <col min="3" max="3" width="13.42578125" customWidth="1"/>
    <col min="4" max="4" width="13.42578125" bestFit="1" customWidth="1"/>
    <col min="5" max="5" width="16.28515625" customWidth="1"/>
    <col min="6" max="6" width="15.42578125" customWidth="1"/>
    <col min="7" max="7" width="12.85546875" customWidth="1"/>
    <col min="12" max="13" width="11.140625" bestFit="1" customWidth="1"/>
    <col min="14" max="14" width="10.85546875" bestFit="1" customWidth="1"/>
    <col min="15" max="15" width="18" bestFit="1" customWidth="1"/>
    <col min="16" max="16" width="16" bestFit="1" customWidth="1"/>
    <col min="17" max="17" width="10.7109375" bestFit="1" customWidth="1"/>
    <col min="18" max="18" width="11.85546875" bestFit="1" customWidth="1"/>
    <col min="19" max="19" width="17.140625" bestFit="1" customWidth="1"/>
    <col min="20" max="20" width="16.7109375" bestFit="1" customWidth="1"/>
    <col min="21" max="21" width="17" bestFit="1" customWidth="1"/>
    <col min="22" max="22" width="13.28515625" bestFit="1" customWidth="1"/>
    <col min="23" max="23" width="16.140625" bestFit="1" customWidth="1"/>
    <col min="24" max="24" width="16.42578125" bestFit="1" customWidth="1"/>
    <col min="25" max="25" width="16.5703125" bestFit="1" customWidth="1"/>
    <col min="26" max="26" width="11.28515625" bestFit="1" customWidth="1"/>
    <col min="27" max="27" width="10.140625" bestFit="1" customWidth="1"/>
    <col min="28" max="28" width="15.42578125" bestFit="1" customWidth="1"/>
    <col min="29" max="29" width="17.42578125" bestFit="1" customWidth="1"/>
    <col min="30" max="30" width="10.28515625" bestFit="1" customWidth="1"/>
    <col min="31" max="31" width="11.140625" bestFit="1" customWidth="1"/>
    <col min="33" max="34" width="8.5703125" bestFit="1" customWidth="1"/>
    <col min="35" max="35" width="28" bestFit="1" customWidth="1"/>
    <col min="37" max="37" width="11.42578125" bestFit="1" customWidth="1"/>
    <col min="38" max="38" width="10" bestFit="1" customWidth="1"/>
  </cols>
  <sheetData>
    <row r="1" spans="1:82" x14ac:dyDescent="0.25">
      <c r="A1" t="s">
        <v>29</v>
      </c>
      <c r="B1" t="s">
        <v>4</v>
      </c>
      <c r="C1" t="s">
        <v>30</v>
      </c>
      <c r="D1" t="s">
        <v>31</v>
      </c>
      <c r="E1" t="s">
        <v>32</v>
      </c>
      <c r="F1" t="s">
        <v>33</v>
      </c>
      <c r="G1" t="s">
        <v>4</v>
      </c>
      <c r="L1" t="s">
        <v>27</v>
      </c>
      <c r="M1" t="s">
        <v>26</v>
      </c>
      <c r="N1" t="s">
        <v>10</v>
      </c>
      <c r="O1" t="s">
        <v>11</v>
      </c>
      <c r="P1" t="s">
        <v>12</v>
      </c>
      <c r="Q1" t="s">
        <v>13</v>
      </c>
      <c r="R1" t="s">
        <v>14</v>
      </c>
      <c r="S1" t="s">
        <v>15</v>
      </c>
      <c r="T1" t="s">
        <v>16</v>
      </c>
      <c r="U1" t="s">
        <v>17</v>
      </c>
      <c r="V1" t="s">
        <v>4</v>
      </c>
      <c r="W1" t="s">
        <v>18</v>
      </c>
      <c r="X1" t="s">
        <v>19</v>
      </c>
      <c r="Y1" t="s">
        <v>20</v>
      </c>
      <c r="Z1" t="s">
        <v>21</v>
      </c>
      <c r="AA1" t="s">
        <v>22</v>
      </c>
      <c r="AB1" t="s">
        <v>23</v>
      </c>
      <c r="AC1" t="s">
        <v>24</v>
      </c>
      <c r="AD1" t="s">
        <v>25</v>
      </c>
      <c r="AE1" t="s">
        <v>47</v>
      </c>
      <c r="AG1" t="s">
        <v>35</v>
      </c>
      <c r="AH1" t="s">
        <v>36</v>
      </c>
      <c r="AI1" t="s">
        <v>37</v>
      </c>
      <c r="AK1" t="s">
        <v>48</v>
      </c>
      <c r="AL1" t="s">
        <v>51</v>
      </c>
    </row>
    <row r="2" spans="1:82" x14ac:dyDescent="0.25">
      <c r="A2" s="1">
        <f>IFERROR(VALUE(Options!H7),0)</f>
        <v>8325</v>
      </c>
      <c r="B2" s="1">
        <f>VALUE(Options!L7)</f>
        <v>22900</v>
      </c>
      <c r="C2" s="1">
        <f>IFERROR(VALUE(Options!P7),0)</f>
        <v>567000</v>
      </c>
      <c r="D2" s="1">
        <f>IFERROR($B2*SUM(A2:$A$2)-SUMPRODUCT($B2:B$2,$A2:A$2),0)</f>
        <v>0</v>
      </c>
      <c r="E2" s="1">
        <f>IFERROR(SUMPRODUCT($B2:B$22,$C2:C$22)-$B2*SUM($C2:C$14),0)</f>
        <v>14026367500</v>
      </c>
      <c r="F2" s="1">
        <f>SUM(D2:E2)</f>
        <v>14026367500</v>
      </c>
      <c r="G2" s="1">
        <f>B2</f>
        <v>22900</v>
      </c>
      <c r="I2" s="39"/>
      <c r="L2" s="30" t="str">
        <f>"CE"&amp;V2</f>
        <v>CE17500</v>
      </c>
      <c r="M2" s="30" t="str">
        <f>"PE"&amp;V2</f>
        <v>PE17500</v>
      </c>
      <c r="N2" s="30" t="s">
        <v>141</v>
      </c>
      <c r="O2" s="30" t="s">
        <v>75</v>
      </c>
      <c r="P2" s="30" t="s">
        <v>71</v>
      </c>
      <c r="Q2" s="30" t="s">
        <v>5</v>
      </c>
      <c r="R2" s="30" t="s">
        <v>142</v>
      </c>
      <c r="S2" s="30" t="s">
        <v>143</v>
      </c>
      <c r="T2" s="30" t="s">
        <v>256</v>
      </c>
      <c r="U2" s="30" t="s">
        <v>257</v>
      </c>
      <c r="V2">
        <v>17500</v>
      </c>
      <c r="W2">
        <v>0.15</v>
      </c>
      <c r="X2" s="30" t="s">
        <v>80</v>
      </c>
      <c r="Y2" s="30" t="s">
        <v>99</v>
      </c>
      <c r="Z2" s="30" t="s">
        <v>80</v>
      </c>
      <c r="AA2" s="30" t="s">
        <v>5</v>
      </c>
      <c r="AB2" s="30" t="s">
        <v>258</v>
      </c>
      <c r="AC2" s="30" t="s">
        <v>194</v>
      </c>
      <c r="AD2" s="30" t="s">
        <v>259</v>
      </c>
      <c r="AE2" s="30"/>
      <c r="AG2" t="s">
        <v>37</v>
      </c>
      <c r="AI2" t="s">
        <v>255</v>
      </c>
      <c r="AK2" s="39">
        <v>0.44027777777777777</v>
      </c>
      <c r="AL2" s="31">
        <v>23800</v>
      </c>
      <c r="AN2">
        <v>100</v>
      </c>
      <c r="AO2">
        <v>100</v>
      </c>
      <c r="AP2">
        <v>33480</v>
      </c>
      <c r="AQ2">
        <v>1280</v>
      </c>
      <c r="AR2">
        <v>1280</v>
      </c>
      <c r="AS2">
        <v>2500</v>
      </c>
      <c r="AT2">
        <v>2780</v>
      </c>
      <c r="AU2">
        <v>67740</v>
      </c>
      <c r="AV2">
        <v>14500</v>
      </c>
      <c r="AW2">
        <v>53280</v>
      </c>
      <c r="AX2">
        <v>115560</v>
      </c>
      <c r="AY2">
        <v>62740</v>
      </c>
      <c r="AZ2">
        <v>388240</v>
      </c>
      <c r="BA2">
        <v>49840</v>
      </c>
      <c r="BB2">
        <v>84360</v>
      </c>
      <c r="BC2">
        <v>93820</v>
      </c>
      <c r="BD2">
        <v>59760</v>
      </c>
      <c r="BE2">
        <v>509060</v>
      </c>
      <c r="BF2">
        <v>71540</v>
      </c>
      <c r="BG2">
        <v>58740</v>
      </c>
      <c r="BH2">
        <v>67260</v>
      </c>
      <c r="BJ2">
        <v>47760</v>
      </c>
      <c r="BK2">
        <v>39540</v>
      </c>
      <c r="BL2">
        <v>387260</v>
      </c>
      <c r="BM2">
        <v>33580</v>
      </c>
      <c r="BN2">
        <v>57780</v>
      </c>
      <c r="BO2">
        <v>60960</v>
      </c>
      <c r="BP2">
        <v>46120</v>
      </c>
      <c r="BQ2">
        <v>287780</v>
      </c>
      <c r="BR2">
        <v>80720</v>
      </c>
      <c r="BS2">
        <v>74120</v>
      </c>
      <c r="BT2">
        <v>95760</v>
      </c>
      <c r="BU2">
        <v>48840</v>
      </c>
      <c r="BV2">
        <v>209480</v>
      </c>
      <c r="BW2">
        <v>15540</v>
      </c>
      <c r="BX2">
        <v>18800</v>
      </c>
      <c r="BY2">
        <v>11820</v>
      </c>
      <c r="BZ2">
        <v>4560</v>
      </c>
      <c r="CA2">
        <v>60260</v>
      </c>
      <c r="CB2">
        <v>5360</v>
      </c>
      <c r="CC2">
        <v>6140</v>
      </c>
      <c r="CD2">
        <v>2460</v>
      </c>
    </row>
    <row r="3" spans="1:82" x14ac:dyDescent="0.25">
      <c r="A3" s="1">
        <f>IFERROR(VALUE(Options!H8),0)</f>
        <v>109850</v>
      </c>
      <c r="B3" s="1">
        <f>VALUE(Options!L8)</f>
        <v>23000</v>
      </c>
      <c r="C3" s="1">
        <f>IFERROR(VALUE(Options!P8),0)</f>
        <v>2022475</v>
      </c>
      <c r="D3" s="1">
        <f>IFERROR($B3*SUM(A$2:$A3)-SUMPRODUCT($B$2:B3,$A$2:A3),0)</f>
        <v>832500</v>
      </c>
      <c r="E3" s="1">
        <f>IFERROR(SUMPRODUCT($B3:B$14,$C3:C$14)-$B3*SUM($C3:C$14),0)</f>
        <v>5867247500</v>
      </c>
      <c r="F3" s="1">
        <f t="shared" ref="F3:F17" si="0">SUM(D3:E3)</f>
        <v>5868080000</v>
      </c>
      <c r="G3" s="1">
        <f t="shared" ref="G3:G17" si="1">B3</f>
        <v>23000</v>
      </c>
      <c r="I3" s="39"/>
      <c r="L3" s="30" t="str">
        <f>"CE"&amp;V3</f>
        <v>CE17600</v>
      </c>
      <c r="M3" s="30" t="str">
        <f>"PE"&amp;V3</f>
        <v>PE17600</v>
      </c>
      <c r="N3" s="30" t="s">
        <v>5</v>
      </c>
      <c r="O3" s="30" t="s">
        <v>5</v>
      </c>
      <c r="P3" s="30" t="s">
        <v>5</v>
      </c>
      <c r="Q3" s="30" t="s">
        <v>5</v>
      </c>
      <c r="R3" s="30" t="s">
        <v>5</v>
      </c>
      <c r="S3" s="30" t="s">
        <v>5</v>
      </c>
      <c r="T3" s="30" t="s">
        <v>260</v>
      </c>
      <c r="U3" s="30" t="s">
        <v>144</v>
      </c>
      <c r="V3">
        <v>17600</v>
      </c>
      <c r="W3">
        <v>0.05</v>
      </c>
      <c r="X3" s="30" t="s">
        <v>113</v>
      </c>
      <c r="Y3" s="30" t="s">
        <v>5</v>
      </c>
      <c r="Z3" s="30" t="s">
        <v>5</v>
      </c>
      <c r="AA3" s="30" t="s">
        <v>5</v>
      </c>
      <c r="AB3" s="30" t="s">
        <v>5</v>
      </c>
      <c r="AC3" s="30" t="s">
        <v>5</v>
      </c>
      <c r="AD3" s="30" t="s">
        <v>5</v>
      </c>
      <c r="AE3" s="30"/>
      <c r="AG3" t="s">
        <v>38</v>
      </c>
      <c r="AH3" t="s">
        <v>39</v>
      </c>
      <c r="AK3" s="39">
        <v>0.44791666666666669</v>
      </c>
      <c r="AL3" s="31">
        <v>23900</v>
      </c>
    </row>
    <row r="4" spans="1:82" ht="15.75" thickBot="1" x14ac:dyDescent="0.3">
      <c r="A4" s="1">
        <f>IFERROR(VALUE(Options!H9),0)</f>
        <v>19725</v>
      </c>
      <c r="B4" s="1">
        <f>VALUE(Options!L9)</f>
        <v>23100</v>
      </c>
      <c r="C4" s="1">
        <f>IFERROR(VALUE(Options!P9),0)</f>
        <v>754025</v>
      </c>
      <c r="D4" s="1">
        <f>IFERROR($B4*SUM(A$2:$A4)-SUMPRODUCT($B$2:B4,$A$2:A4),0)</f>
        <v>12650000</v>
      </c>
      <c r="E4" s="1">
        <f>IFERROR(SUMPRODUCT($B4:B$14,$C4:C$14)-$B4*SUM($C4:C$14),0)</f>
        <v>4812702500</v>
      </c>
      <c r="F4" s="1">
        <f t="shared" si="0"/>
        <v>4825352500</v>
      </c>
      <c r="G4" s="1">
        <f t="shared" si="1"/>
        <v>23100</v>
      </c>
      <c r="I4" s="39"/>
      <c r="L4" s="30" t="str">
        <f>"CE"&amp;V4</f>
        <v>CE17700</v>
      </c>
      <c r="M4" s="30" t="str">
        <f>"PE"&amp;V4</f>
        <v>PE17700</v>
      </c>
      <c r="N4" s="30" t="s">
        <v>5</v>
      </c>
      <c r="O4" s="30" t="s">
        <v>5</v>
      </c>
      <c r="P4" s="30" t="s">
        <v>5</v>
      </c>
      <c r="Q4" s="30" t="s">
        <v>5</v>
      </c>
      <c r="R4" s="30" t="s">
        <v>5</v>
      </c>
      <c r="S4" s="30" t="s">
        <v>5</v>
      </c>
      <c r="T4" s="30" t="s">
        <v>261</v>
      </c>
      <c r="U4" s="30" t="s">
        <v>145</v>
      </c>
      <c r="V4">
        <v>17700</v>
      </c>
      <c r="W4">
        <v>0.05</v>
      </c>
      <c r="X4" s="30" t="s">
        <v>82</v>
      </c>
      <c r="Y4" s="30" t="s">
        <v>5</v>
      </c>
      <c r="Z4" s="30" t="s">
        <v>87</v>
      </c>
      <c r="AA4" s="30" t="s">
        <v>5</v>
      </c>
      <c r="AB4" s="30" t="s">
        <v>69</v>
      </c>
      <c r="AC4" s="30" t="s">
        <v>75</v>
      </c>
      <c r="AD4" s="30" t="s">
        <v>70</v>
      </c>
      <c r="AE4" s="30"/>
      <c r="AH4" t="s">
        <v>40</v>
      </c>
      <c r="AI4" t="str">
        <f>MID(AI2,7,13)</f>
        <v xml:space="preserve">Oct 15, 2020 </v>
      </c>
      <c r="AK4" s="39"/>
      <c r="AL4" s="31"/>
    </row>
    <row r="5" spans="1:82" ht="16.5" thickTop="1" thickBot="1" x14ac:dyDescent="0.3">
      <c r="A5" s="1">
        <f>IFERROR(VALUE(Options!H10),0)</f>
        <v>61875</v>
      </c>
      <c r="B5" s="1">
        <f>VALUE(Options!L10)</f>
        <v>23200</v>
      </c>
      <c r="C5" s="1">
        <f>IFERROR(VALUE(Options!P10),0)</f>
        <v>985300</v>
      </c>
      <c r="D5" s="1">
        <f>IFERROR($B5*SUM(A$2:$A5)-SUMPRODUCT($B$2:B5,$A$2:A5),0)</f>
        <v>26440000</v>
      </c>
      <c r="E5" s="1">
        <f>IFERROR(SUMPRODUCT($B5:B$14,$C5:C$14)-$B5*SUM($C5:C$14),0)</f>
        <v>3833560000</v>
      </c>
      <c r="F5" s="1">
        <f t="shared" si="0"/>
        <v>3860000000</v>
      </c>
      <c r="G5" s="1">
        <f t="shared" si="1"/>
        <v>23200</v>
      </c>
      <c r="L5" s="30" t="str">
        <f>"CE"&amp;V5</f>
        <v>CE17800</v>
      </c>
      <c r="M5" s="30" t="str">
        <f>"PE"&amp;V5</f>
        <v>PE17800</v>
      </c>
      <c r="N5" s="30" t="s">
        <v>5</v>
      </c>
      <c r="O5" s="30" t="s">
        <v>5</v>
      </c>
      <c r="P5" s="30" t="s">
        <v>5</v>
      </c>
      <c r="Q5" s="30" t="s">
        <v>5</v>
      </c>
      <c r="R5" s="30" t="s">
        <v>5</v>
      </c>
      <c r="S5" s="30" t="s">
        <v>5</v>
      </c>
      <c r="T5" s="30" t="s">
        <v>262</v>
      </c>
      <c r="U5" s="30" t="s">
        <v>263</v>
      </c>
      <c r="V5">
        <v>17800</v>
      </c>
      <c r="W5">
        <v>0.05</v>
      </c>
      <c r="X5" s="30" t="s">
        <v>113</v>
      </c>
      <c r="Y5" s="30" t="s">
        <v>5</v>
      </c>
      <c r="Z5" s="30" t="s">
        <v>5</v>
      </c>
      <c r="AA5" s="30" t="s">
        <v>5</v>
      </c>
      <c r="AB5" s="30" t="s">
        <v>5</v>
      </c>
      <c r="AC5" s="30" t="s">
        <v>5</v>
      </c>
      <c r="AD5" s="30" t="s">
        <v>5</v>
      </c>
      <c r="AE5" s="30"/>
      <c r="AH5" t="s">
        <v>41</v>
      </c>
      <c r="AI5" s="37" t="str">
        <f>MID(AI2, 20,5)</f>
        <v>10:45</v>
      </c>
      <c r="AK5" s="39"/>
    </row>
    <row r="6" spans="1:82" ht="15.75" thickTop="1" x14ac:dyDescent="0.25">
      <c r="A6" s="1">
        <f>IFERROR(VALUE(Options!H11),0)</f>
        <v>80325</v>
      </c>
      <c r="B6" s="1">
        <f>VALUE(Options!L11)</f>
        <v>23300</v>
      </c>
      <c r="C6" s="1">
        <f>IFERROR(VALUE(Options!P11),0)</f>
        <v>906100</v>
      </c>
      <c r="D6" s="1">
        <f>IFERROR($B6*SUM(A$2:$A6)-SUMPRODUCT($B$2:B6,$A$2:A6),0)</f>
        <v>46417500</v>
      </c>
      <c r="E6" s="1">
        <f>IFERROR(SUMPRODUCT($B6:B$14,$C6:C$14)-$B6*SUM($C6:C$14),0)</f>
        <v>2952947500</v>
      </c>
      <c r="F6" s="1">
        <f t="shared" si="0"/>
        <v>2999365000</v>
      </c>
      <c r="G6" s="1">
        <f t="shared" si="1"/>
        <v>23300</v>
      </c>
      <c r="L6" s="30" t="str">
        <f>"CE"&amp;V6</f>
        <v>CE17900</v>
      </c>
      <c r="M6" s="30" t="str">
        <f>"PE"&amp;V6</f>
        <v>PE17900</v>
      </c>
      <c r="N6" s="30" t="s">
        <v>5</v>
      </c>
      <c r="O6" s="30" t="s">
        <v>5</v>
      </c>
      <c r="P6" s="30" t="s">
        <v>5</v>
      </c>
      <c r="Q6" s="30" t="s">
        <v>5</v>
      </c>
      <c r="R6" s="30" t="s">
        <v>5</v>
      </c>
      <c r="S6" s="30" t="s">
        <v>5</v>
      </c>
      <c r="T6" s="30" t="s">
        <v>264</v>
      </c>
      <c r="U6" s="30" t="s">
        <v>265</v>
      </c>
      <c r="V6">
        <v>17900</v>
      </c>
      <c r="W6">
        <v>0.05</v>
      </c>
      <c r="X6" s="30" t="s">
        <v>83</v>
      </c>
      <c r="Y6" s="30" t="s">
        <v>5</v>
      </c>
      <c r="Z6" s="30" t="s">
        <v>5</v>
      </c>
      <c r="AA6" s="30" t="s">
        <v>5</v>
      </c>
      <c r="AB6" s="30" t="s">
        <v>5</v>
      </c>
      <c r="AC6" s="30" t="s">
        <v>5</v>
      </c>
      <c r="AD6" s="30" t="s">
        <v>5</v>
      </c>
      <c r="AE6" s="30"/>
      <c r="AI6" s="37"/>
      <c r="AK6" s="39"/>
    </row>
    <row r="7" spans="1:82" x14ac:dyDescent="0.25">
      <c r="A7" s="1">
        <f>IFERROR(VALUE(Options!H12),0)</f>
        <v>74250</v>
      </c>
      <c r="B7" s="1">
        <f>VALUE(Options!L12)</f>
        <v>23400</v>
      </c>
      <c r="C7" s="1">
        <f>IFERROR(VALUE(Options!P12),0)</f>
        <v>953200</v>
      </c>
      <c r="D7" s="1">
        <f>IFERROR($B7*SUM(A$2:$A7)-SUMPRODUCT($B$2:B7,$A$2:A7),0)</f>
        <v>74427500</v>
      </c>
      <c r="E7" s="1">
        <f>IFERROR(SUMPRODUCT($B7:B$14,$C7:C$14)-$B7*SUM($C7:C$14),0)</f>
        <v>2162945000</v>
      </c>
      <c r="F7" s="1">
        <f t="shared" si="0"/>
        <v>2237372500</v>
      </c>
      <c r="G7" s="1">
        <f t="shared" si="1"/>
        <v>23400</v>
      </c>
      <c r="L7" s="30" t="str">
        <f>"CE"&amp;V7</f>
        <v>CE18000</v>
      </c>
      <c r="M7" s="30" t="str">
        <f>"PE"&amp;V7</f>
        <v>PE18000</v>
      </c>
      <c r="N7" s="30" t="s">
        <v>75</v>
      </c>
      <c r="O7" s="30" t="s">
        <v>5</v>
      </c>
      <c r="P7" s="30" t="s">
        <v>5</v>
      </c>
      <c r="Q7" s="30" t="s">
        <v>5</v>
      </c>
      <c r="R7" s="30" t="s">
        <v>5</v>
      </c>
      <c r="S7" s="30" t="s">
        <v>5</v>
      </c>
      <c r="T7" s="30" t="s">
        <v>266</v>
      </c>
      <c r="U7" s="30" t="s">
        <v>267</v>
      </c>
      <c r="V7">
        <v>18000</v>
      </c>
      <c r="W7">
        <v>0.25</v>
      </c>
      <c r="X7" s="30" t="s">
        <v>85</v>
      </c>
      <c r="Y7" s="30" t="s">
        <v>146</v>
      </c>
      <c r="Z7" s="30" t="s">
        <v>87</v>
      </c>
      <c r="AA7" s="30" t="s">
        <v>5</v>
      </c>
      <c r="AB7" s="30" t="s">
        <v>147</v>
      </c>
      <c r="AC7" s="30" t="s">
        <v>137</v>
      </c>
      <c r="AD7" s="30" t="s">
        <v>148</v>
      </c>
      <c r="AE7" s="30"/>
      <c r="AK7" s="39"/>
    </row>
    <row r="8" spans="1:82" x14ac:dyDescent="0.25">
      <c r="A8" s="1">
        <f>IFERROR(VALUE(Options!H13),0)</f>
        <v>384225</v>
      </c>
      <c r="B8" s="1">
        <f>VALUE(Options!L13)</f>
        <v>23500</v>
      </c>
      <c r="C8" s="1">
        <f>IFERROR(VALUE(Options!P13),0)</f>
        <v>1900075</v>
      </c>
      <c r="D8" s="1">
        <f>IFERROR($B8*SUM(A$2:$A8)-SUMPRODUCT($B$2:B8,$A$2:A8),0)</f>
        <v>109862500</v>
      </c>
      <c r="E8" s="1">
        <f>IFERROR(SUMPRODUCT($B8:B$14,$C8:C$14)-$B8*SUM($C8:C$14),0)</f>
        <v>1468262500</v>
      </c>
      <c r="F8" s="1">
        <f t="shared" si="0"/>
        <v>1578125000</v>
      </c>
      <c r="G8" s="1">
        <f t="shared" si="1"/>
        <v>23500</v>
      </c>
      <c r="L8" s="30" t="str">
        <f>"CE"&amp;V8</f>
        <v>CE18100</v>
      </c>
      <c r="M8" s="30" t="str">
        <f>"PE"&amp;V8</f>
        <v>PE18100</v>
      </c>
      <c r="N8" s="30" t="s">
        <v>5</v>
      </c>
      <c r="O8" s="30" t="s">
        <v>5</v>
      </c>
      <c r="P8" s="30" t="s">
        <v>5</v>
      </c>
      <c r="Q8" s="30" t="s">
        <v>5</v>
      </c>
      <c r="R8" s="30" t="s">
        <v>5</v>
      </c>
      <c r="S8" s="30" t="s">
        <v>5</v>
      </c>
      <c r="T8" s="30" t="s">
        <v>268</v>
      </c>
      <c r="U8" s="30" t="s">
        <v>269</v>
      </c>
      <c r="V8">
        <v>18100</v>
      </c>
      <c r="W8">
        <v>0.05</v>
      </c>
      <c r="X8" s="30" t="s">
        <v>149</v>
      </c>
      <c r="Y8" s="30" t="s">
        <v>5</v>
      </c>
      <c r="Z8" s="30" t="s">
        <v>5</v>
      </c>
      <c r="AA8" s="30" t="s">
        <v>5</v>
      </c>
      <c r="AB8" s="30" t="s">
        <v>5</v>
      </c>
      <c r="AC8" s="30" t="s">
        <v>5</v>
      </c>
      <c r="AD8" s="30" t="s">
        <v>5</v>
      </c>
      <c r="AE8" s="30"/>
      <c r="AG8" t="s">
        <v>35</v>
      </c>
      <c r="AH8" t="s">
        <v>36</v>
      </c>
      <c r="AI8" t="s">
        <v>37</v>
      </c>
      <c r="AK8" s="39"/>
    </row>
    <row r="9" spans="1:82" x14ac:dyDescent="0.25">
      <c r="A9" s="1">
        <f>IFERROR(VALUE(Options!H14),0)</f>
        <v>114150</v>
      </c>
      <c r="B9" s="1">
        <f>VALUE(Options!L14)</f>
        <v>23600</v>
      </c>
      <c r="C9" s="1">
        <f>IFERROR(VALUE(Options!P14),0)</f>
        <v>1047175</v>
      </c>
      <c r="D9" s="1">
        <f>IFERROR($B9*SUM(A$2:$A9)-SUMPRODUCT($B$2:B9,$A$2:A9),0)</f>
        <v>183720000</v>
      </c>
      <c r="E9" s="1">
        <f>IFERROR(SUMPRODUCT($B9:B$14,$C9:C$14)-$B9*SUM($C9:C$14),0)</f>
        <v>963587500</v>
      </c>
      <c r="F9" s="1">
        <f t="shared" si="0"/>
        <v>1147307500</v>
      </c>
      <c r="G9" s="1">
        <f t="shared" si="1"/>
        <v>23600</v>
      </c>
      <c r="L9" s="30" t="str">
        <f>"CE"&amp;V9</f>
        <v>CE18200</v>
      </c>
      <c r="M9" s="30" t="str">
        <f>"PE"&amp;V9</f>
        <v>PE18200</v>
      </c>
      <c r="N9" s="30" t="s">
        <v>5</v>
      </c>
      <c r="O9" s="30" t="s">
        <v>5</v>
      </c>
      <c r="P9" s="30" t="s">
        <v>5</v>
      </c>
      <c r="Q9" s="30" t="s">
        <v>5</v>
      </c>
      <c r="R9" s="30" t="s">
        <v>5</v>
      </c>
      <c r="S9" s="30" t="s">
        <v>5</v>
      </c>
      <c r="T9" s="30" t="s">
        <v>270</v>
      </c>
      <c r="U9" s="30" t="s">
        <v>271</v>
      </c>
      <c r="V9">
        <v>18200</v>
      </c>
      <c r="W9">
        <v>0.05</v>
      </c>
      <c r="X9" s="30" t="s">
        <v>149</v>
      </c>
      <c r="Y9" s="30" t="s">
        <v>5</v>
      </c>
      <c r="Z9" s="30" t="s">
        <v>5</v>
      </c>
      <c r="AA9" s="30" t="s">
        <v>5</v>
      </c>
      <c r="AB9" s="30" t="s">
        <v>5</v>
      </c>
      <c r="AC9" s="30" t="s">
        <v>5</v>
      </c>
      <c r="AD9" s="30" t="s">
        <v>5</v>
      </c>
      <c r="AE9" s="30"/>
      <c r="AG9" t="s">
        <v>37</v>
      </c>
      <c r="AI9" t="s">
        <v>254</v>
      </c>
      <c r="AK9" s="39"/>
    </row>
    <row r="10" spans="1:82" x14ac:dyDescent="0.25">
      <c r="A10" s="1">
        <f>IFERROR(VALUE(Options!H15),0)</f>
        <v>272250</v>
      </c>
      <c r="B10" s="1">
        <f>VALUE(Options!L15)</f>
        <v>23700</v>
      </c>
      <c r="C10" s="1">
        <f>IFERROR(VALUE(Options!P15),0)</f>
        <v>1288475</v>
      </c>
      <c r="D10" s="1">
        <f>IFERROR($B10*SUM(A$2:$A10)-SUMPRODUCT($B$2:B10,$A$2:A10),0)</f>
        <v>268992500</v>
      </c>
      <c r="E10" s="1">
        <f>IFERROR(SUMPRODUCT($B10:B$14,$C10:C$14)-$B10*SUM($C10:C$14),0)</f>
        <v>563630000</v>
      </c>
      <c r="F10" s="1">
        <f t="shared" si="0"/>
        <v>832622500</v>
      </c>
      <c r="G10" s="1">
        <f t="shared" si="1"/>
        <v>23700</v>
      </c>
      <c r="L10" s="30" t="str">
        <f>"CE"&amp;V10</f>
        <v>CE18300</v>
      </c>
      <c r="M10" s="30" t="str">
        <f>"PE"&amp;V10</f>
        <v>PE18300</v>
      </c>
      <c r="N10" s="30" t="s">
        <v>5</v>
      </c>
      <c r="O10" s="30" t="s">
        <v>5</v>
      </c>
      <c r="P10" s="30" t="s">
        <v>5</v>
      </c>
      <c r="Q10" s="30" t="s">
        <v>5</v>
      </c>
      <c r="R10" s="30" t="s">
        <v>5</v>
      </c>
      <c r="S10" s="30" t="s">
        <v>5</v>
      </c>
      <c r="T10" s="30" t="s">
        <v>272</v>
      </c>
      <c r="U10" s="30" t="s">
        <v>150</v>
      </c>
      <c r="V10">
        <v>18300</v>
      </c>
      <c r="W10">
        <v>0.05</v>
      </c>
      <c r="X10" s="30" t="s">
        <v>149</v>
      </c>
      <c r="Y10" s="30" t="s">
        <v>5</v>
      </c>
      <c r="Z10" s="30" t="s">
        <v>5</v>
      </c>
      <c r="AA10" s="30" t="s">
        <v>5</v>
      </c>
      <c r="AB10" s="30" t="s">
        <v>5</v>
      </c>
      <c r="AC10" s="30" t="s">
        <v>5</v>
      </c>
      <c r="AD10" s="30" t="s">
        <v>5</v>
      </c>
      <c r="AE10" s="30"/>
      <c r="AK10" s="39"/>
    </row>
    <row r="11" spans="1:82" x14ac:dyDescent="0.25">
      <c r="A11" s="1">
        <f>IFERROR(VALUE(Options!H16),0)</f>
        <v>607025</v>
      </c>
      <c r="B11" s="1">
        <f>VALUE(Options!L16)</f>
        <v>23800</v>
      </c>
      <c r="C11" s="1">
        <f>IFERROR(VALUE(Options!P16),0)</f>
        <v>966500</v>
      </c>
      <c r="D11" s="1">
        <f>IFERROR($B11*SUM(A$2:$A11)-SUMPRODUCT($B$2:B11,$A$2:A11),0)</f>
        <v>381490000</v>
      </c>
      <c r="E11" s="1">
        <f>IFERROR(SUMPRODUCT($B11:B$14,$C11:C$14)-$B11*SUM($C11:C$14),0)</f>
        <v>292520000</v>
      </c>
      <c r="F11" s="1">
        <f t="shared" si="0"/>
        <v>674010000</v>
      </c>
      <c r="G11" s="1">
        <f t="shared" si="1"/>
        <v>23800</v>
      </c>
      <c r="L11" s="30" t="str">
        <f>"CE"&amp;V11</f>
        <v>CE18400</v>
      </c>
      <c r="M11" s="30" t="str">
        <f>"PE"&amp;V11</f>
        <v>PE18400</v>
      </c>
      <c r="N11" s="30" t="s">
        <v>5</v>
      </c>
      <c r="O11" s="30" t="s">
        <v>5</v>
      </c>
      <c r="P11" s="30" t="s">
        <v>5</v>
      </c>
      <c r="Q11" s="30" t="s">
        <v>5</v>
      </c>
      <c r="R11" s="30" t="s">
        <v>5</v>
      </c>
      <c r="S11" s="30" t="s">
        <v>5</v>
      </c>
      <c r="T11" s="30" t="s">
        <v>273</v>
      </c>
      <c r="U11" s="30" t="s">
        <v>274</v>
      </c>
      <c r="V11">
        <v>18400</v>
      </c>
      <c r="X11" s="30" t="s">
        <v>158</v>
      </c>
      <c r="Y11" s="30" t="s">
        <v>5</v>
      </c>
      <c r="Z11" s="30" t="s">
        <v>5</v>
      </c>
      <c r="AA11" s="30" t="s">
        <v>5</v>
      </c>
      <c r="AB11" s="30" t="s">
        <v>5</v>
      </c>
      <c r="AC11" s="30" t="s">
        <v>5</v>
      </c>
      <c r="AD11" s="30" t="s">
        <v>5</v>
      </c>
      <c r="AE11" s="30"/>
      <c r="AH11" t="s">
        <v>42</v>
      </c>
      <c r="AI11">
        <f>VALUE(RIGHT(AI9,8))</f>
        <v>23871.3</v>
      </c>
      <c r="AK11" s="39"/>
    </row>
    <row r="12" spans="1:82" x14ac:dyDescent="0.25">
      <c r="A12" s="1">
        <f>IFERROR(VALUE(Options!H17),0)</f>
        <v>1029650</v>
      </c>
      <c r="B12" s="1">
        <f>VALUE(Options!L17)</f>
        <v>23900</v>
      </c>
      <c r="C12" s="1">
        <f>IFERROR(VALUE(Options!P17),0)</f>
        <v>694650</v>
      </c>
      <c r="D12" s="1">
        <f>IFERROR($B12*SUM(A$2:$A12)-SUMPRODUCT($B$2:B12,$A$2:A12),0)</f>
        <v>554690000</v>
      </c>
      <c r="E12" s="1">
        <f>IFERROR(SUMPRODUCT($B12:B$14,$C12:C$14)-$B12*SUM($C12:C$14),0)</f>
        <v>118060000</v>
      </c>
      <c r="F12" s="1">
        <f t="shared" si="0"/>
        <v>672750000</v>
      </c>
      <c r="G12" s="1">
        <f t="shared" si="1"/>
        <v>23900</v>
      </c>
      <c r="L12" s="30" t="str">
        <f>"CE"&amp;V12</f>
        <v>CE18500</v>
      </c>
      <c r="M12" s="30" t="str">
        <f>"PE"&amp;V12</f>
        <v>PE18500</v>
      </c>
      <c r="N12" s="30" t="s">
        <v>75</v>
      </c>
      <c r="O12" s="30" t="s">
        <v>5</v>
      </c>
      <c r="P12" s="30" t="s">
        <v>5</v>
      </c>
      <c r="Q12" s="30" t="s">
        <v>5</v>
      </c>
      <c r="R12" s="30" t="s">
        <v>5</v>
      </c>
      <c r="S12" s="30" t="s">
        <v>5</v>
      </c>
      <c r="T12" s="30" t="s">
        <v>275</v>
      </c>
      <c r="U12" s="30" t="s">
        <v>276</v>
      </c>
      <c r="V12">
        <v>18500</v>
      </c>
      <c r="W12">
        <v>0.35</v>
      </c>
      <c r="X12" s="30" t="s">
        <v>88</v>
      </c>
      <c r="Y12" s="30" t="s">
        <v>146</v>
      </c>
      <c r="Z12" s="30" t="s">
        <v>85</v>
      </c>
      <c r="AA12" s="30" t="s">
        <v>5</v>
      </c>
      <c r="AB12" s="30" t="s">
        <v>277</v>
      </c>
      <c r="AC12" s="30" t="s">
        <v>278</v>
      </c>
      <c r="AD12" s="30" t="s">
        <v>279</v>
      </c>
      <c r="AE12" s="30"/>
      <c r="AH12" t="s">
        <v>43</v>
      </c>
      <c r="AI12">
        <f>ROUND(AI11,-2)</f>
        <v>23900</v>
      </c>
      <c r="AK12" s="39"/>
    </row>
    <row r="13" spans="1:82" x14ac:dyDescent="0.25">
      <c r="A13" s="1">
        <f>IFERROR(VALUE(Options!H18),0)</f>
        <v>2118350</v>
      </c>
      <c r="B13" s="1">
        <f>VALUE(Options!L18)</f>
        <v>24000</v>
      </c>
      <c r="C13" s="1">
        <f>IFERROR(VALUE(Options!P18),0)</f>
        <v>919300</v>
      </c>
      <c r="D13" s="1">
        <f>IFERROR($B13*SUM(A$2:$A13)-SUMPRODUCT($B$2:B13,$A$2:A13),0)</f>
        <v>830855000</v>
      </c>
      <c r="E13" s="1">
        <f>IFERROR(SUMPRODUCT($B13:B$14,$C13:C$14)-$B13*SUM($C13:C$14),0)</f>
        <v>13065000</v>
      </c>
      <c r="F13" s="1">
        <f t="shared" si="0"/>
        <v>843920000</v>
      </c>
      <c r="G13" s="1">
        <f t="shared" si="1"/>
        <v>24000</v>
      </c>
      <c r="L13" s="30" t="str">
        <f>"CE"&amp;V13</f>
        <v>CE18600</v>
      </c>
      <c r="M13" s="30" t="str">
        <f>"PE"&amp;V13</f>
        <v>PE18600</v>
      </c>
      <c r="N13" s="30" t="s">
        <v>5</v>
      </c>
      <c r="O13" s="30" t="s">
        <v>5</v>
      </c>
      <c r="P13" s="30" t="s">
        <v>5</v>
      </c>
      <c r="Q13" s="30" t="s">
        <v>5</v>
      </c>
      <c r="R13" s="30" t="s">
        <v>5</v>
      </c>
      <c r="S13" s="30" t="s">
        <v>5</v>
      </c>
      <c r="T13" s="30" t="s">
        <v>280</v>
      </c>
      <c r="U13" s="30" t="s">
        <v>281</v>
      </c>
      <c r="V13">
        <v>18600</v>
      </c>
      <c r="X13" s="30" t="s">
        <v>149</v>
      </c>
      <c r="Y13" s="30" t="s">
        <v>5</v>
      </c>
      <c r="Z13" s="30" t="s">
        <v>5</v>
      </c>
      <c r="AA13" s="30" t="s">
        <v>5</v>
      </c>
      <c r="AB13" s="30" t="s">
        <v>5</v>
      </c>
      <c r="AC13" s="30" t="s">
        <v>5</v>
      </c>
      <c r="AD13" s="30" t="s">
        <v>5</v>
      </c>
      <c r="AE13" s="30"/>
      <c r="AK13" s="39"/>
    </row>
    <row r="14" spans="1:82" x14ac:dyDescent="0.25">
      <c r="A14" s="1">
        <f>IFERROR(VALUE(Options!H19),0)</f>
        <v>1032000</v>
      </c>
      <c r="B14" s="1">
        <f>VALUE(Options!L19)</f>
        <v>24100</v>
      </c>
      <c r="C14" s="1">
        <f>IFERROR(VALUE(Options!P19),0)</f>
        <v>130650</v>
      </c>
      <c r="D14" s="1">
        <f>IFERROR($B14*SUM(A$2:$A14)-SUMPRODUCT($B$2:B14,$A$2:A14),0)</f>
        <v>1318855000</v>
      </c>
      <c r="E14" s="1">
        <f>IFERROR(SUMPRODUCT($B14:B$14,$C14:C$14)-$B14*SUM($C14:C$14),0)</f>
        <v>0</v>
      </c>
      <c r="F14" s="1">
        <f t="shared" si="0"/>
        <v>1318855000</v>
      </c>
      <c r="G14" s="1">
        <f t="shared" si="1"/>
        <v>24100</v>
      </c>
      <c r="L14" s="30" t="str">
        <f>"CE"&amp;V14</f>
        <v>CE18700</v>
      </c>
      <c r="M14" s="30" t="str">
        <f>"PE"&amp;V14</f>
        <v>PE18700</v>
      </c>
      <c r="N14" s="30" t="s">
        <v>5</v>
      </c>
      <c r="O14" s="30" t="s">
        <v>5</v>
      </c>
      <c r="P14" s="30" t="s">
        <v>71</v>
      </c>
      <c r="Q14" s="30" t="s">
        <v>5</v>
      </c>
      <c r="R14" s="30" t="s">
        <v>154</v>
      </c>
      <c r="S14" s="30" t="s">
        <v>155</v>
      </c>
      <c r="T14" s="30" t="s">
        <v>282</v>
      </c>
      <c r="U14" s="30" t="s">
        <v>283</v>
      </c>
      <c r="V14">
        <v>18700</v>
      </c>
      <c r="W14">
        <v>0.1</v>
      </c>
      <c r="X14" s="30" t="s">
        <v>156</v>
      </c>
      <c r="Y14" s="30" t="s">
        <v>157</v>
      </c>
      <c r="Z14" s="30" t="s">
        <v>91</v>
      </c>
      <c r="AA14" s="30" t="s">
        <v>5</v>
      </c>
      <c r="AB14" s="30" t="s">
        <v>69</v>
      </c>
      <c r="AC14" s="30" t="s">
        <v>5</v>
      </c>
      <c r="AD14" s="30" t="s">
        <v>5</v>
      </c>
      <c r="AE14" s="30"/>
      <c r="AK14" s="39"/>
    </row>
    <row r="15" spans="1:82" x14ac:dyDescent="0.25">
      <c r="A15" s="1">
        <f>IFERROR(VALUE(Options!H20),0)</f>
        <v>1552275</v>
      </c>
      <c r="B15" s="1">
        <f>VALUE(Options!L20)</f>
        <v>24200</v>
      </c>
      <c r="C15" s="1">
        <f>IFERROR(VALUE(Options!P20),0)</f>
        <v>75100</v>
      </c>
      <c r="D15" s="1">
        <f>IFERROR($B15*SUM(A$2:$A15)-SUMPRODUCT($B$2:B15,$A$2:A15),0)</f>
        <v>1910055000</v>
      </c>
      <c r="E15" s="1">
        <f>IFERROR(SUMPRODUCT($B$14:B15,$C$14:C15)-$B15*SUM($C$14:C15),0)</f>
        <v>-13065000</v>
      </c>
      <c r="F15" s="1">
        <f t="shared" si="0"/>
        <v>1896990000</v>
      </c>
      <c r="G15" s="1">
        <f t="shared" si="1"/>
        <v>24200</v>
      </c>
      <c r="L15" s="30" t="str">
        <f>"CE"&amp;V15</f>
        <v>CE18800</v>
      </c>
      <c r="M15" s="30" t="str">
        <f>"PE"&amp;V15</f>
        <v>PE18800</v>
      </c>
      <c r="N15" s="30" t="s">
        <v>5</v>
      </c>
      <c r="O15" s="30" t="s">
        <v>5</v>
      </c>
      <c r="P15" s="30" t="s">
        <v>5</v>
      </c>
      <c r="Q15" s="30" t="s">
        <v>5</v>
      </c>
      <c r="R15" s="30" t="s">
        <v>5</v>
      </c>
      <c r="S15" s="30" t="s">
        <v>5</v>
      </c>
      <c r="T15" s="30" t="s">
        <v>284</v>
      </c>
      <c r="U15" s="30" t="s">
        <v>285</v>
      </c>
      <c r="V15">
        <v>18800</v>
      </c>
      <c r="X15" s="30" t="s">
        <v>149</v>
      </c>
      <c r="Y15" s="30" t="s">
        <v>5</v>
      </c>
      <c r="Z15" s="30" t="s">
        <v>5</v>
      </c>
      <c r="AA15" s="30" t="s">
        <v>5</v>
      </c>
      <c r="AB15" s="30" t="s">
        <v>5</v>
      </c>
      <c r="AC15" s="30" t="s">
        <v>5</v>
      </c>
      <c r="AD15" s="30" t="s">
        <v>5</v>
      </c>
      <c r="AE15" s="30"/>
      <c r="AK15" s="39"/>
    </row>
    <row r="16" spans="1:82" x14ac:dyDescent="0.25">
      <c r="A16" s="1">
        <f>IFERROR(VALUE(Options!H21),0)</f>
        <v>1166100</v>
      </c>
      <c r="B16" s="1">
        <f>VALUE(Options!L21)</f>
        <v>24300</v>
      </c>
      <c r="C16" s="1">
        <f>IFERROR(VALUE(Options!P21),0)</f>
        <v>40100</v>
      </c>
      <c r="D16" s="1">
        <f>IFERROR($B16*SUM(A$2:$A16)-SUMPRODUCT($B$2:B16,$A$2:A16),0)</f>
        <v>2656482500</v>
      </c>
      <c r="E16" s="1">
        <f>IFERROR(SUMPRODUCT($B$14:B16,$C$14:C16)-$B16*SUM($C$14:C16),0)</f>
        <v>-33640000</v>
      </c>
      <c r="F16" s="1">
        <f t="shared" si="0"/>
        <v>2622842500</v>
      </c>
      <c r="G16" s="1">
        <f t="shared" si="1"/>
        <v>24300</v>
      </c>
      <c r="L16" s="30" t="str">
        <f>"CE"&amp;V16</f>
        <v>CE18900</v>
      </c>
      <c r="M16" s="30" t="str">
        <f>"PE"&amp;V16</f>
        <v>PE18900</v>
      </c>
      <c r="N16" s="30" t="s">
        <v>5</v>
      </c>
      <c r="O16" s="30" t="s">
        <v>5</v>
      </c>
      <c r="P16" s="30" t="s">
        <v>5</v>
      </c>
      <c r="Q16" s="30" t="s">
        <v>5</v>
      </c>
      <c r="R16" s="30" t="s">
        <v>5</v>
      </c>
      <c r="S16" s="30" t="s">
        <v>5</v>
      </c>
      <c r="T16" s="30" t="s">
        <v>286</v>
      </c>
      <c r="U16" s="30" t="s">
        <v>287</v>
      </c>
      <c r="V16">
        <v>18900</v>
      </c>
      <c r="X16" s="30" t="s">
        <v>82</v>
      </c>
      <c r="Y16" s="30" t="s">
        <v>5</v>
      </c>
      <c r="Z16" s="30" t="s">
        <v>5</v>
      </c>
      <c r="AA16" s="30" t="s">
        <v>5</v>
      </c>
      <c r="AB16" s="30" t="s">
        <v>5</v>
      </c>
      <c r="AC16" s="30" t="s">
        <v>5</v>
      </c>
      <c r="AD16" s="30" t="s">
        <v>5</v>
      </c>
      <c r="AE16" s="30"/>
      <c r="AH16" s="39"/>
      <c r="AK16" s="39"/>
    </row>
    <row r="17" spans="1:37" x14ac:dyDescent="0.25">
      <c r="A17" s="1">
        <f>IFERROR(VALUE(Options!H22),0)</f>
        <v>1070325</v>
      </c>
      <c r="B17" s="1">
        <f>VALUE(Options!L22)</f>
        <v>24400</v>
      </c>
      <c r="C17" s="1">
        <f>IFERROR(VALUE(Options!P22),0)</f>
        <v>92475</v>
      </c>
      <c r="D17" s="1">
        <f>IFERROR($B17*SUM(A$2:$A17)-SUMPRODUCT($B$2:B17,$A$2:A17),0)</f>
        <v>3519520000</v>
      </c>
      <c r="E17" s="1">
        <f>IFERROR(SUMPRODUCT($B$14:B17,$C$14:C17)-$B17*SUM($C$14:C17),0)</f>
        <v>-58225000</v>
      </c>
      <c r="F17" s="1">
        <f t="shared" si="0"/>
        <v>3461295000</v>
      </c>
      <c r="G17" s="1">
        <f t="shared" si="1"/>
        <v>24400</v>
      </c>
      <c r="L17" s="30" t="str">
        <f>"CE"&amp;V17</f>
        <v>CE19000</v>
      </c>
      <c r="M17" s="30" t="str">
        <f>"PE"&amp;V17</f>
        <v>PE19000</v>
      </c>
      <c r="N17" s="30" t="s">
        <v>75</v>
      </c>
      <c r="O17" s="30" t="s">
        <v>5</v>
      </c>
      <c r="P17" s="30" t="s">
        <v>5</v>
      </c>
      <c r="Q17" s="30" t="s">
        <v>5</v>
      </c>
      <c r="R17" s="30" t="s">
        <v>5</v>
      </c>
      <c r="S17" s="30" t="s">
        <v>5</v>
      </c>
      <c r="T17" s="30" t="s">
        <v>288</v>
      </c>
      <c r="U17" s="30" t="s">
        <v>289</v>
      </c>
      <c r="V17">
        <v>19000</v>
      </c>
      <c r="W17">
        <v>0.45</v>
      </c>
      <c r="X17" s="30" t="s">
        <v>81</v>
      </c>
      <c r="Y17" s="30" t="s">
        <v>290</v>
      </c>
      <c r="Z17" s="30" t="s">
        <v>78</v>
      </c>
      <c r="AA17" s="30" t="s">
        <v>5</v>
      </c>
      <c r="AB17" s="30" t="s">
        <v>291</v>
      </c>
      <c r="AC17" s="30" t="s">
        <v>246</v>
      </c>
      <c r="AD17" s="30" t="s">
        <v>292</v>
      </c>
      <c r="AE17" s="30"/>
      <c r="AH17" s="39"/>
      <c r="AK17" s="39"/>
    </row>
    <row r="18" spans="1:37" x14ac:dyDescent="0.25">
      <c r="A18" s="1">
        <f>IFERROR(VALUE(Options!H23),0)</f>
        <v>2486925</v>
      </c>
      <c r="B18" s="1">
        <f>VALUE(Options!L23)</f>
        <v>24500</v>
      </c>
      <c r="C18" s="1">
        <f>IFERROR(VALUE(Options!P23),0)</f>
        <v>60925</v>
      </c>
      <c r="D18" s="1">
        <f>IFERROR($B18*SUM(A$2:$A18)-SUMPRODUCT($B$2:B18,$A$2:A18),0)</f>
        <v>4489590000</v>
      </c>
      <c r="E18" s="1">
        <f>IFERROR(SUMPRODUCT($B$14:B18,$C$14:C18)-$B18*SUM($C$14:C18),0)</f>
        <v>-92057500</v>
      </c>
      <c r="F18" s="1">
        <f>SUM(D18:E18)</f>
        <v>4397532500</v>
      </c>
      <c r="G18" s="1">
        <f>B18</f>
        <v>24500</v>
      </c>
      <c r="L18" s="30" t="str">
        <f>"CE"&amp;V18</f>
        <v>CE19100</v>
      </c>
      <c r="M18" s="30" t="str">
        <f>"PE"&amp;V18</f>
        <v>PE19100</v>
      </c>
      <c r="N18" s="30" t="s">
        <v>5</v>
      </c>
      <c r="O18" s="30" t="s">
        <v>5</v>
      </c>
      <c r="P18" s="30" t="s">
        <v>5</v>
      </c>
      <c r="Q18" s="30" t="s">
        <v>5</v>
      </c>
      <c r="R18" s="30" t="s">
        <v>5</v>
      </c>
      <c r="S18" s="30" t="s">
        <v>5</v>
      </c>
      <c r="T18" s="30" t="s">
        <v>293</v>
      </c>
      <c r="U18" s="30" t="s">
        <v>294</v>
      </c>
      <c r="V18">
        <v>19100</v>
      </c>
      <c r="W18">
        <v>0.05</v>
      </c>
      <c r="X18" s="30" t="s">
        <v>213</v>
      </c>
      <c r="Y18" s="30" t="s">
        <v>115</v>
      </c>
      <c r="Z18" s="30" t="s">
        <v>156</v>
      </c>
      <c r="AA18" s="30" t="s">
        <v>5</v>
      </c>
      <c r="AB18" s="30" t="s">
        <v>69</v>
      </c>
      <c r="AC18" s="30" t="s">
        <v>5</v>
      </c>
      <c r="AD18" s="30" t="s">
        <v>5</v>
      </c>
      <c r="AE18" s="30"/>
      <c r="AH18" s="39"/>
      <c r="AK18" s="39"/>
    </row>
    <row r="19" spans="1:37" x14ac:dyDescent="0.25">
      <c r="A19" s="1">
        <f>IFERROR(VALUE(Options!H24),0)</f>
        <v>874175</v>
      </c>
      <c r="B19" s="1">
        <f>VALUE(Options!L24)</f>
        <v>24600</v>
      </c>
      <c r="C19" s="1">
        <f>IFERROR(VALUE(Options!P24),0)</f>
        <v>4175</v>
      </c>
      <c r="D19" s="1">
        <f>IFERROR($B19*SUM(A$2:$A19)-SUMPRODUCT($B$2:B19,$A$2:A19),0)</f>
        <v>5708352500</v>
      </c>
      <c r="E19" s="1">
        <f>IFERROR(SUMPRODUCT($B$14:B19,$C$14:C19)-$B19*SUM($C$14:C19),0)</f>
        <v>-131982500</v>
      </c>
      <c r="F19" s="1">
        <f t="shared" ref="F19:F22" si="2">SUM(D19:E19)</f>
        <v>5576370000</v>
      </c>
      <c r="G19" s="1">
        <f t="shared" ref="G19:G22" si="3">B19</f>
        <v>24600</v>
      </c>
      <c r="L19" s="30" t="str">
        <f>"CE"&amp;V19</f>
        <v>CE19200</v>
      </c>
      <c r="M19" s="30" t="str">
        <f>"PE"&amp;V19</f>
        <v>PE19200</v>
      </c>
      <c r="N19" s="30" t="s">
        <v>5</v>
      </c>
      <c r="O19" s="30" t="s">
        <v>5</v>
      </c>
      <c r="P19" s="30" t="s">
        <v>5</v>
      </c>
      <c r="Q19" s="30" t="s">
        <v>5</v>
      </c>
      <c r="R19" s="30" t="s">
        <v>5</v>
      </c>
      <c r="S19" s="30" t="s">
        <v>5</v>
      </c>
      <c r="T19" s="30" t="s">
        <v>295</v>
      </c>
      <c r="U19" s="30" t="s">
        <v>296</v>
      </c>
      <c r="V19">
        <v>19200</v>
      </c>
      <c r="W19">
        <v>0.05</v>
      </c>
      <c r="X19" s="30" t="s">
        <v>149</v>
      </c>
      <c r="Y19" s="30" t="s">
        <v>5</v>
      </c>
      <c r="Z19" s="30" t="s">
        <v>5</v>
      </c>
      <c r="AA19" s="30" t="s">
        <v>5</v>
      </c>
      <c r="AB19" s="30" t="s">
        <v>5</v>
      </c>
      <c r="AC19" s="30" t="s">
        <v>5</v>
      </c>
      <c r="AD19" s="30" t="s">
        <v>5</v>
      </c>
      <c r="AE19" s="30"/>
      <c r="AH19" s="39"/>
      <c r="AK19" s="39"/>
    </row>
    <row r="20" spans="1:37" x14ac:dyDescent="0.25">
      <c r="A20" s="1">
        <f>IFERROR(VALUE(Options!H25),0)</f>
        <v>707125</v>
      </c>
      <c r="B20" s="1">
        <f>VALUE(Options!L25)</f>
        <v>24700</v>
      </c>
      <c r="C20" s="1">
        <f>IFERROR(VALUE(Options!P25),0)</f>
        <v>5825</v>
      </c>
      <c r="D20" s="1">
        <f>IFERROR($B20*SUM(A$2:$A20)-SUMPRODUCT($B$2:B20,$A$2:A20),0)</f>
        <v>7014532500</v>
      </c>
      <c r="E20" s="1">
        <f>IFERROR(SUMPRODUCT($B$14:B20,$C$14:C20)-$B20*SUM($C$14:C20),0)</f>
        <v>-172325000</v>
      </c>
      <c r="F20" s="1">
        <f t="shared" si="2"/>
        <v>6842207500</v>
      </c>
      <c r="G20" s="1">
        <f t="shared" si="3"/>
        <v>24700</v>
      </c>
      <c r="L20" s="30" t="str">
        <f>"CE"&amp;V20</f>
        <v>CE19300</v>
      </c>
      <c r="M20" s="30" t="str">
        <f>"PE"&amp;V20</f>
        <v>PE19300</v>
      </c>
      <c r="N20" s="30" t="s">
        <v>5</v>
      </c>
      <c r="O20" s="30" t="s">
        <v>5</v>
      </c>
      <c r="P20" s="30" t="s">
        <v>5</v>
      </c>
      <c r="Q20" s="30" t="s">
        <v>5</v>
      </c>
      <c r="R20" s="30" t="s">
        <v>5</v>
      </c>
      <c r="S20" s="30" t="s">
        <v>5</v>
      </c>
      <c r="T20" s="30" t="s">
        <v>297</v>
      </c>
      <c r="U20" s="30" t="s">
        <v>298</v>
      </c>
      <c r="V20">
        <v>19300</v>
      </c>
      <c r="W20">
        <v>0.05</v>
      </c>
      <c r="X20" s="30" t="s">
        <v>113</v>
      </c>
      <c r="Y20" s="30" t="s">
        <v>5</v>
      </c>
      <c r="Z20" s="30" t="s">
        <v>5</v>
      </c>
      <c r="AA20" s="30" t="s">
        <v>5</v>
      </c>
      <c r="AB20" s="30" t="s">
        <v>5</v>
      </c>
      <c r="AC20" s="30" t="s">
        <v>5</v>
      </c>
      <c r="AD20" s="30" t="s">
        <v>5</v>
      </c>
      <c r="AE20" s="30"/>
      <c r="AK20" s="39"/>
    </row>
    <row r="21" spans="1:37" x14ac:dyDescent="0.25">
      <c r="A21" s="1">
        <f>IFERROR(VALUE(Options!H26),0)</f>
        <v>511025</v>
      </c>
      <c r="B21" s="1">
        <f>VALUE(Options!L26)</f>
        <v>24800</v>
      </c>
      <c r="C21" s="1">
        <f>IFERROR(VALUE(Options!P26),0)</f>
        <v>3200</v>
      </c>
      <c r="D21" s="1">
        <f>IFERROR($B21*SUM(A$2:$A21)-SUMPRODUCT($B$2:B21,$A$2:A21),0)</f>
        <v>8391425000</v>
      </c>
      <c r="E21" s="1">
        <f>IFERROR(SUMPRODUCT($B$14:B21,$C$14:C21)-$B21*SUM($C$14:C21),0)</f>
        <v>-213250000</v>
      </c>
      <c r="F21" s="1">
        <f t="shared" si="2"/>
        <v>8178175000</v>
      </c>
      <c r="G21" s="1">
        <f t="shared" si="3"/>
        <v>24800</v>
      </c>
      <c r="L21" s="30" t="str">
        <f>"CE"&amp;V21</f>
        <v>CE19400</v>
      </c>
      <c r="M21" s="30" t="str">
        <f>"PE"&amp;V21</f>
        <v>PE19400</v>
      </c>
      <c r="N21" s="30" t="s">
        <v>5</v>
      </c>
      <c r="O21" s="30" t="s">
        <v>5</v>
      </c>
      <c r="P21" s="30" t="s">
        <v>5</v>
      </c>
      <c r="Q21" s="30" t="s">
        <v>5</v>
      </c>
      <c r="R21" s="30" t="s">
        <v>5</v>
      </c>
      <c r="S21" s="30" t="s">
        <v>5</v>
      </c>
      <c r="T21" s="30" t="s">
        <v>299</v>
      </c>
      <c r="U21" s="30" t="s">
        <v>300</v>
      </c>
      <c r="V21">
        <v>19400</v>
      </c>
      <c r="W21">
        <v>0.05</v>
      </c>
      <c r="X21" s="30" t="s">
        <v>83</v>
      </c>
      <c r="Y21" s="30" t="s">
        <v>5</v>
      </c>
      <c r="Z21" s="30" t="s">
        <v>81</v>
      </c>
      <c r="AA21" s="30" t="s">
        <v>5</v>
      </c>
      <c r="AB21" s="30" t="s">
        <v>69</v>
      </c>
      <c r="AC21" s="30" t="s">
        <v>75</v>
      </c>
      <c r="AD21" s="30" t="s">
        <v>73</v>
      </c>
      <c r="AE21" s="30"/>
      <c r="AK21" s="39"/>
    </row>
    <row r="22" spans="1:37" x14ac:dyDescent="0.25">
      <c r="A22" s="1">
        <f>IFERROR(VALUE(Options!H27),0)</f>
        <v>376250</v>
      </c>
      <c r="B22" s="1">
        <f>VALUE(Options!L27)</f>
        <v>24900</v>
      </c>
      <c r="C22" s="1">
        <f>IFERROR(VALUE(Options!P27),0)</f>
        <v>1425</v>
      </c>
      <c r="D22" s="1">
        <f>IFERROR($B22*SUM(A$2:$A22)-SUMPRODUCT($B$2:B22,$A$2:A22),0)</f>
        <v>9819420000</v>
      </c>
      <c r="E22" s="1">
        <f>IFERROR(SUMPRODUCT($B$14:B22,$C$14:C22)-$B22*SUM($C$14:C22),0)</f>
        <v>-254495000</v>
      </c>
      <c r="F22" s="1">
        <f t="shared" si="2"/>
        <v>9564925000</v>
      </c>
      <c r="G22" s="1">
        <f t="shared" si="3"/>
        <v>24900</v>
      </c>
      <c r="L22" s="30" t="str">
        <f>"CE"&amp;V22</f>
        <v>CE19500</v>
      </c>
      <c r="M22" s="30" t="str">
        <f>"PE"&amp;V22</f>
        <v>PE19500</v>
      </c>
      <c r="N22" s="30" t="s">
        <v>110</v>
      </c>
      <c r="O22" s="30" t="s">
        <v>5</v>
      </c>
      <c r="P22" s="30" t="s">
        <v>5</v>
      </c>
      <c r="Q22" s="30" t="s">
        <v>5</v>
      </c>
      <c r="R22" s="30" t="s">
        <v>5</v>
      </c>
      <c r="S22" s="30" t="s">
        <v>5</v>
      </c>
      <c r="T22" s="30" t="s">
        <v>301</v>
      </c>
      <c r="U22" s="30" t="s">
        <v>302</v>
      </c>
      <c r="V22">
        <v>19500</v>
      </c>
      <c r="W22">
        <v>0.4</v>
      </c>
      <c r="X22" s="30" t="s">
        <v>81</v>
      </c>
      <c r="Y22" s="30" t="s">
        <v>100</v>
      </c>
      <c r="Z22" s="30" t="s">
        <v>86</v>
      </c>
      <c r="AA22" s="30" t="s">
        <v>5</v>
      </c>
      <c r="AB22" s="30" t="s">
        <v>303</v>
      </c>
      <c r="AC22" s="30" t="s">
        <v>304</v>
      </c>
      <c r="AD22" s="30" t="s">
        <v>305</v>
      </c>
      <c r="AE22" s="30"/>
      <c r="AK22" s="39"/>
    </row>
    <row r="23" spans="1:37" x14ac:dyDescent="0.25">
      <c r="L23" s="30" t="str">
        <f>"CE"&amp;V23</f>
        <v>CE19600</v>
      </c>
      <c r="M23" s="30" t="str">
        <f>"PE"&amp;V23</f>
        <v>PE19600</v>
      </c>
      <c r="N23" s="30" t="s">
        <v>5</v>
      </c>
      <c r="O23" s="30" t="s">
        <v>5</v>
      </c>
      <c r="P23" s="30" t="s">
        <v>5</v>
      </c>
      <c r="Q23" s="30" t="s">
        <v>5</v>
      </c>
      <c r="R23" s="30" t="s">
        <v>5</v>
      </c>
      <c r="S23" s="30" t="s">
        <v>5</v>
      </c>
      <c r="T23" s="30" t="s">
        <v>306</v>
      </c>
      <c r="U23" s="30" t="s">
        <v>307</v>
      </c>
      <c r="V23">
        <v>19600</v>
      </c>
      <c r="W23">
        <v>0.1</v>
      </c>
      <c r="X23" s="30" t="s">
        <v>213</v>
      </c>
      <c r="Y23" s="30" t="s">
        <v>5</v>
      </c>
      <c r="Z23" s="30" t="s">
        <v>5</v>
      </c>
      <c r="AA23" s="30" t="s">
        <v>5</v>
      </c>
      <c r="AB23" s="30" t="s">
        <v>5</v>
      </c>
      <c r="AC23" s="30" t="s">
        <v>5</v>
      </c>
      <c r="AD23" s="30" t="s">
        <v>75</v>
      </c>
      <c r="AE23" s="30"/>
      <c r="AK23" s="39"/>
    </row>
    <row r="24" spans="1:37" x14ac:dyDescent="0.25">
      <c r="F24" t="s">
        <v>28</v>
      </c>
      <c r="G24">
        <f>VLOOKUP(MIN(F2:F14),F2:G14,2,FALSE)</f>
        <v>23900</v>
      </c>
      <c r="L24" s="30" t="str">
        <f>"CE"&amp;V24</f>
        <v>CE19700</v>
      </c>
      <c r="M24" s="30" t="str">
        <f>"PE"&amp;V24</f>
        <v>PE19700</v>
      </c>
      <c r="N24" s="30" t="s">
        <v>5</v>
      </c>
      <c r="O24" s="30" t="s">
        <v>5</v>
      </c>
      <c r="P24" s="30" t="s">
        <v>5</v>
      </c>
      <c r="Q24" s="30" t="s">
        <v>5</v>
      </c>
      <c r="R24" s="30" t="s">
        <v>5</v>
      </c>
      <c r="S24" s="30" t="s">
        <v>5</v>
      </c>
      <c r="T24" s="30" t="s">
        <v>308</v>
      </c>
      <c r="U24" s="30" t="s">
        <v>309</v>
      </c>
      <c r="V24">
        <v>19700</v>
      </c>
      <c r="W24">
        <v>0.2</v>
      </c>
      <c r="X24" s="30" t="s">
        <v>79</v>
      </c>
      <c r="Y24" s="30" t="s">
        <v>151</v>
      </c>
      <c r="Z24" s="30" t="s">
        <v>81</v>
      </c>
      <c r="AA24" s="30" t="s">
        <v>5</v>
      </c>
      <c r="AB24" s="30" t="s">
        <v>159</v>
      </c>
      <c r="AC24" s="30" t="s">
        <v>160</v>
      </c>
      <c r="AD24" s="30" t="s">
        <v>161</v>
      </c>
      <c r="AE24" s="30"/>
      <c r="AK24" s="39"/>
    </row>
    <row r="25" spans="1:37" x14ac:dyDescent="0.25">
      <c r="L25" s="30" t="str">
        <f>"CE"&amp;V25</f>
        <v>CE19800</v>
      </c>
      <c r="M25" s="30" t="str">
        <f>"PE"&amp;V25</f>
        <v>PE19800</v>
      </c>
      <c r="N25" s="30" t="s">
        <v>5</v>
      </c>
      <c r="O25" s="30" t="s">
        <v>5</v>
      </c>
      <c r="P25" s="30" t="s">
        <v>5</v>
      </c>
      <c r="Q25" s="30" t="s">
        <v>5</v>
      </c>
      <c r="R25" s="30" t="s">
        <v>5</v>
      </c>
      <c r="S25" s="30" t="s">
        <v>5</v>
      </c>
      <c r="T25" s="30" t="s">
        <v>310</v>
      </c>
      <c r="U25" s="30" t="s">
        <v>311</v>
      </c>
      <c r="V25">
        <v>19800</v>
      </c>
      <c r="W25">
        <v>0.15</v>
      </c>
      <c r="X25" s="30" t="s">
        <v>79</v>
      </c>
      <c r="Y25" s="30" t="s">
        <v>5</v>
      </c>
      <c r="Z25" s="30" t="s">
        <v>93</v>
      </c>
      <c r="AA25" s="30" t="s">
        <v>5</v>
      </c>
      <c r="AB25" s="30" t="s">
        <v>69</v>
      </c>
      <c r="AC25" s="30" t="s">
        <v>5</v>
      </c>
      <c r="AD25" s="30" t="s">
        <v>75</v>
      </c>
      <c r="AE25" s="30"/>
      <c r="AK25" s="39"/>
    </row>
    <row r="26" spans="1:37" x14ac:dyDescent="0.25">
      <c r="L26" s="30" t="str">
        <f>"CE"&amp;V26</f>
        <v>CE19900</v>
      </c>
      <c r="M26" s="30" t="str">
        <f>"PE"&amp;V26</f>
        <v>PE19900</v>
      </c>
      <c r="N26" s="30" t="s">
        <v>75</v>
      </c>
      <c r="O26" s="30" t="s">
        <v>5</v>
      </c>
      <c r="P26" s="30" t="s">
        <v>5</v>
      </c>
      <c r="Q26" s="30" t="s">
        <v>5</v>
      </c>
      <c r="R26" s="30" t="s">
        <v>5</v>
      </c>
      <c r="S26" s="30" t="s">
        <v>5</v>
      </c>
      <c r="T26" s="30" t="s">
        <v>312</v>
      </c>
      <c r="U26" s="30" t="s">
        <v>313</v>
      </c>
      <c r="V26">
        <v>19900</v>
      </c>
      <c r="W26">
        <v>0.2</v>
      </c>
      <c r="X26" s="30" t="s">
        <v>84</v>
      </c>
      <c r="Y26" s="30" t="s">
        <v>314</v>
      </c>
      <c r="Z26" s="30" t="s">
        <v>86</v>
      </c>
      <c r="AA26" s="30" t="s">
        <v>5</v>
      </c>
      <c r="AB26" s="30" t="s">
        <v>315</v>
      </c>
      <c r="AC26" s="30" t="s">
        <v>316</v>
      </c>
      <c r="AD26" s="30" t="s">
        <v>317</v>
      </c>
      <c r="AE26" s="30"/>
      <c r="AK26" s="39"/>
    </row>
    <row r="27" spans="1:37" x14ac:dyDescent="0.25">
      <c r="L27" s="30" t="str">
        <f>"CE"&amp;V27</f>
        <v>CE20000</v>
      </c>
      <c r="M27" s="30" t="str">
        <f>"PE"&amp;V27</f>
        <v>PE20000</v>
      </c>
      <c r="N27" s="30" t="s">
        <v>164</v>
      </c>
      <c r="O27" s="30" t="s">
        <v>5</v>
      </c>
      <c r="P27" s="30" t="s">
        <v>5</v>
      </c>
      <c r="Q27" s="30" t="s">
        <v>5</v>
      </c>
      <c r="R27" s="30" t="s">
        <v>5</v>
      </c>
      <c r="S27" s="30" t="s">
        <v>5</v>
      </c>
      <c r="T27" s="30" t="s">
        <v>318</v>
      </c>
      <c r="U27" s="30" t="s">
        <v>319</v>
      </c>
      <c r="V27">
        <v>20000</v>
      </c>
      <c r="W27">
        <v>0.4</v>
      </c>
      <c r="X27" s="30" t="s">
        <v>88</v>
      </c>
      <c r="Y27" s="30" t="s">
        <v>100</v>
      </c>
      <c r="Z27" s="30" t="s">
        <v>88</v>
      </c>
      <c r="AA27" s="30" t="s">
        <v>5</v>
      </c>
      <c r="AB27" s="30" t="s">
        <v>320</v>
      </c>
      <c r="AC27" s="30" t="s">
        <v>321</v>
      </c>
      <c r="AD27" s="30" t="s">
        <v>322</v>
      </c>
      <c r="AE27" s="30"/>
      <c r="AK27" s="39"/>
    </row>
    <row r="28" spans="1:37" x14ac:dyDescent="0.25">
      <c r="L28" s="30" t="str">
        <f>"CE"&amp;V28</f>
        <v>CE20100</v>
      </c>
      <c r="M28" s="30" t="str">
        <f>"PE"&amp;V28</f>
        <v>PE20100</v>
      </c>
      <c r="N28" s="30" t="s">
        <v>70</v>
      </c>
      <c r="O28" s="30" t="s">
        <v>5</v>
      </c>
      <c r="P28" s="30" t="s">
        <v>5</v>
      </c>
      <c r="Q28" s="30" t="s">
        <v>5</v>
      </c>
      <c r="R28" s="30" t="s">
        <v>5</v>
      </c>
      <c r="S28" s="30" t="s">
        <v>5</v>
      </c>
      <c r="T28" s="30" t="s">
        <v>323</v>
      </c>
      <c r="U28" s="30" t="s">
        <v>324</v>
      </c>
      <c r="V28">
        <v>20100</v>
      </c>
      <c r="W28">
        <v>0.15</v>
      </c>
      <c r="X28" s="30" t="s">
        <v>83</v>
      </c>
      <c r="Y28" s="30" t="s">
        <v>314</v>
      </c>
      <c r="Z28" s="30" t="s">
        <v>83</v>
      </c>
      <c r="AA28" s="30" t="s">
        <v>5</v>
      </c>
      <c r="AB28" s="30" t="s">
        <v>325</v>
      </c>
      <c r="AC28" s="30" t="s">
        <v>77</v>
      </c>
      <c r="AD28" s="30" t="s">
        <v>165</v>
      </c>
      <c r="AE28" s="30"/>
      <c r="AK28" s="39"/>
    </row>
    <row r="29" spans="1:37" x14ac:dyDescent="0.25">
      <c r="L29" s="30" t="str">
        <f>"CE"&amp;V29</f>
        <v>CE20200</v>
      </c>
      <c r="M29" s="30" t="str">
        <f>"PE"&amp;V29</f>
        <v>PE20200</v>
      </c>
      <c r="N29" s="30" t="s">
        <v>70</v>
      </c>
      <c r="O29" s="30" t="s">
        <v>5</v>
      </c>
      <c r="P29" s="30" t="s">
        <v>5</v>
      </c>
      <c r="Q29" s="30" t="s">
        <v>5</v>
      </c>
      <c r="R29" s="30" t="s">
        <v>5</v>
      </c>
      <c r="S29" s="30" t="s">
        <v>5</v>
      </c>
      <c r="T29" s="30" t="s">
        <v>326</v>
      </c>
      <c r="U29" s="30" t="s">
        <v>327</v>
      </c>
      <c r="V29">
        <v>20200</v>
      </c>
      <c r="W29">
        <v>0.2</v>
      </c>
      <c r="X29" s="30" t="s">
        <v>81</v>
      </c>
      <c r="Y29" s="30" t="s">
        <v>122</v>
      </c>
      <c r="Z29" s="30" t="s">
        <v>80</v>
      </c>
      <c r="AA29" s="30" t="s">
        <v>5</v>
      </c>
      <c r="AB29" s="30" t="s">
        <v>328</v>
      </c>
      <c r="AC29" s="30" t="s">
        <v>167</v>
      </c>
      <c r="AD29" s="30" t="s">
        <v>168</v>
      </c>
      <c r="AE29" s="30"/>
      <c r="AK29" s="39"/>
    </row>
    <row r="30" spans="1:37" x14ac:dyDescent="0.25">
      <c r="L30" s="30" t="str">
        <f>"CE"&amp;V30</f>
        <v>CE20300</v>
      </c>
      <c r="M30" s="30" t="str">
        <f>"PE"&amp;V30</f>
        <v>PE20300</v>
      </c>
      <c r="N30" s="30" t="s">
        <v>75</v>
      </c>
      <c r="O30" s="30" t="s">
        <v>5</v>
      </c>
      <c r="P30" s="30" t="s">
        <v>5</v>
      </c>
      <c r="Q30" s="30" t="s">
        <v>5</v>
      </c>
      <c r="R30" s="30" t="s">
        <v>5</v>
      </c>
      <c r="S30" s="30" t="s">
        <v>5</v>
      </c>
      <c r="T30" s="30" t="s">
        <v>329</v>
      </c>
      <c r="U30" s="30" t="s">
        <v>330</v>
      </c>
      <c r="V30">
        <v>20300</v>
      </c>
      <c r="W30">
        <v>0.2</v>
      </c>
      <c r="X30" s="30" t="s">
        <v>86</v>
      </c>
      <c r="Y30" s="30" t="s">
        <v>162</v>
      </c>
      <c r="Z30" s="30" t="s">
        <v>86</v>
      </c>
      <c r="AA30" s="30" t="s">
        <v>5</v>
      </c>
      <c r="AB30" s="30" t="s">
        <v>331</v>
      </c>
      <c r="AC30" s="30" t="s">
        <v>108</v>
      </c>
      <c r="AD30" s="30" t="s">
        <v>332</v>
      </c>
      <c r="AE30" s="30"/>
      <c r="AK30" s="39"/>
    </row>
    <row r="31" spans="1:37" x14ac:dyDescent="0.25">
      <c r="L31" s="30" t="str">
        <f>"CE"&amp;V31</f>
        <v>CE20400</v>
      </c>
      <c r="M31" s="30" t="str">
        <f>"PE"&amp;V31</f>
        <v>PE20400</v>
      </c>
      <c r="N31" s="30" t="s">
        <v>76</v>
      </c>
      <c r="O31" s="30" t="s">
        <v>5</v>
      </c>
      <c r="P31" s="30" t="s">
        <v>5</v>
      </c>
      <c r="Q31" s="30" t="s">
        <v>5</v>
      </c>
      <c r="R31" s="30" t="s">
        <v>5</v>
      </c>
      <c r="S31" s="30" t="s">
        <v>5</v>
      </c>
      <c r="T31" s="30" t="s">
        <v>333</v>
      </c>
      <c r="U31" s="30" t="s">
        <v>334</v>
      </c>
      <c r="V31">
        <v>20400</v>
      </c>
      <c r="W31">
        <v>0.2</v>
      </c>
      <c r="X31" s="30" t="s">
        <v>88</v>
      </c>
      <c r="Y31" s="30" t="s">
        <v>109</v>
      </c>
      <c r="Z31" s="30" t="s">
        <v>88</v>
      </c>
      <c r="AA31" s="30" t="s">
        <v>5</v>
      </c>
      <c r="AB31" s="30" t="s">
        <v>166</v>
      </c>
      <c r="AC31" s="30" t="s">
        <v>76</v>
      </c>
      <c r="AD31" s="30" t="s">
        <v>169</v>
      </c>
      <c r="AE31" s="30"/>
      <c r="AK31" s="39"/>
    </row>
    <row r="32" spans="1:37" x14ac:dyDescent="0.25">
      <c r="L32" s="30" t="str">
        <f>"CE"&amp;V32</f>
        <v>CE20500</v>
      </c>
      <c r="M32" s="30" t="str">
        <f>"PE"&amp;V32</f>
        <v>PE20500</v>
      </c>
      <c r="N32" s="30" t="s">
        <v>124</v>
      </c>
      <c r="O32" s="30" t="s">
        <v>5</v>
      </c>
      <c r="P32" s="30" t="s">
        <v>72</v>
      </c>
      <c r="Q32" s="30" t="s">
        <v>5</v>
      </c>
      <c r="R32" s="30" t="s">
        <v>170</v>
      </c>
      <c r="S32" s="30" t="s">
        <v>171</v>
      </c>
      <c r="T32" s="30" t="s">
        <v>335</v>
      </c>
      <c r="U32" s="30" t="s">
        <v>336</v>
      </c>
      <c r="V32">
        <v>20500</v>
      </c>
      <c r="W32">
        <v>0.4</v>
      </c>
      <c r="X32" s="30" t="s">
        <v>86</v>
      </c>
      <c r="Y32" s="30" t="s">
        <v>117</v>
      </c>
      <c r="Z32" s="30" t="s">
        <v>85</v>
      </c>
      <c r="AA32" s="30" t="s">
        <v>5</v>
      </c>
      <c r="AB32" s="30" t="s">
        <v>337</v>
      </c>
      <c r="AC32" s="30" t="s">
        <v>338</v>
      </c>
      <c r="AD32" s="30" t="s">
        <v>339</v>
      </c>
      <c r="AE32" s="30"/>
      <c r="AK32" s="39"/>
    </row>
    <row r="33" spans="12:37" x14ac:dyDescent="0.25">
      <c r="L33" s="30" t="str">
        <f>"CE"&amp;V33</f>
        <v>CE20600</v>
      </c>
      <c r="M33" s="30" t="str">
        <f>"PE"&amp;V33</f>
        <v>PE20600</v>
      </c>
      <c r="N33" s="30" t="s">
        <v>75</v>
      </c>
      <c r="O33" s="30" t="s">
        <v>5</v>
      </c>
      <c r="P33" s="30" t="s">
        <v>5</v>
      </c>
      <c r="Q33" s="30" t="s">
        <v>5</v>
      </c>
      <c r="R33" s="30" t="s">
        <v>5</v>
      </c>
      <c r="S33" s="30" t="s">
        <v>5</v>
      </c>
      <c r="T33" s="30" t="s">
        <v>340</v>
      </c>
      <c r="U33" s="30" t="s">
        <v>341</v>
      </c>
      <c r="V33">
        <v>20600</v>
      </c>
      <c r="W33">
        <v>0.5</v>
      </c>
      <c r="X33" s="30" t="s">
        <v>112</v>
      </c>
      <c r="Y33" s="30" t="s">
        <v>120</v>
      </c>
      <c r="Z33" s="30" t="s">
        <v>85</v>
      </c>
      <c r="AA33" s="30" t="s">
        <v>5</v>
      </c>
      <c r="AB33" s="30" t="s">
        <v>342</v>
      </c>
      <c r="AC33" s="30" t="s">
        <v>118</v>
      </c>
      <c r="AD33" s="30" t="s">
        <v>172</v>
      </c>
      <c r="AE33" s="30"/>
      <c r="AK33" s="39"/>
    </row>
    <row r="34" spans="12:37" x14ac:dyDescent="0.25">
      <c r="L34" s="30" t="str">
        <f>"CE"&amp;V34</f>
        <v>CE20700</v>
      </c>
      <c r="M34" s="30" t="str">
        <f>"PE"&amp;V34</f>
        <v>PE20700</v>
      </c>
      <c r="N34" s="30" t="s">
        <v>75</v>
      </c>
      <c r="O34" s="30" t="s">
        <v>5</v>
      </c>
      <c r="P34" s="30" t="s">
        <v>5</v>
      </c>
      <c r="Q34" s="30" t="s">
        <v>5</v>
      </c>
      <c r="R34" s="30" t="s">
        <v>5</v>
      </c>
      <c r="S34" s="30" t="s">
        <v>5</v>
      </c>
      <c r="T34" s="30" t="s">
        <v>343</v>
      </c>
      <c r="U34" s="30" t="s">
        <v>344</v>
      </c>
      <c r="V34">
        <v>20700</v>
      </c>
      <c r="W34">
        <v>0.35</v>
      </c>
      <c r="X34" s="30" t="s">
        <v>82</v>
      </c>
      <c r="Y34" s="30" t="s">
        <v>109</v>
      </c>
      <c r="Z34" s="30" t="s">
        <v>86</v>
      </c>
      <c r="AA34" s="30" t="s">
        <v>5</v>
      </c>
      <c r="AB34" s="30" t="s">
        <v>138</v>
      </c>
      <c r="AC34" s="30" t="s">
        <v>89</v>
      </c>
      <c r="AD34" s="30" t="s">
        <v>173</v>
      </c>
      <c r="AE34" s="30"/>
      <c r="AK34" s="39"/>
    </row>
    <row r="35" spans="12:37" x14ac:dyDescent="0.25">
      <c r="L35" s="30" t="str">
        <f>"CE"&amp;V35</f>
        <v>CE20800</v>
      </c>
      <c r="M35" s="30" t="str">
        <f>"PE"&amp;V35</f>
        <v>PE20800</v>
      </c>
      <c r="N35" s="30" t="s">
        <v>75</v>
      </c>
      <c r="O35" s="30" t="s">
        <v>5</v>
      </c>
      <c r="P35" s="30" t="s">
        <v>5</v>
      </c>
      <c r="Q35" s="30" t="s">
        <v>5</v>
      </c>
      <c r="R35" s="30" t="s">
        <v>5</v>
      </c>
      <c r="S35" s="30" t="s">
        <v>5</v>
      </c>
      <c r="T35" s="30" t="s">
        <v>345</v>
      </c>
      <c r="U35" s="30" t="s">
        <v>346</v>
      </c>
      <c r="V35">
        <v>20800</v>
      </c>
      <c r="W35">
        <v>0.4</v>
      </c>
      <c r="X35" s="30" t="s">
        <v>84</v>
      </c>
      <c r="Y35" s="30" t="s">
        <v>111</v>
      </c>
      <c r="Z35" s="30" t="s">
        <v>83</v>
      </c>
      <c r="AA35" s="30" t="s">
        <v>5</v>
      </c>
      <c r="AB35" s="30" t="s">
        <v>347</v>
      </c>
      <c r="AC35" s="30" t="s">
        <v>348</v>
      </c>
      <c r="AD35" s="30" t="s">
        <v>349</v>
      </c>
      <c r="AE35" s="30"/>
      <c r="AK35" s="39"/>
    </row>
    <row r="36" spans="12:37" x14ac:dyDescent="0.25">
      <c r="L36" s="30" t="str">
        <f>"CE"&amp;V36</f>
        <v>CE20900</v>
      </c>
      <c r="M36" s="30" t="str">
        <f>"PE"&amp;V36</f>
        <v>PE20900</v>
      </c>
      <c r="N36" s="30" t="s">
        <v>89</v>
      </c>
      <c r="O36" s="30" t="s">
        <v>5</v>
      </c>
      <c r="P36" s="30" t="s">
        <v>5</v>
      </c>
      <c r="Q36" s="30" t="s">
        <v>5</v>
      </c>
      <c r="R36" s="30" t="s">
        <v>5</v>
      </c>
      <c r="S36" s="30" t="s">
        <v>5</v>
      </c>
      <c r="T36" s="30" t="s">
        <v>350</v>
      </c>
      <c r="U36" s="30" t="s">
        <v>351</v>
      </c>
      <c r="V36">
        <v>20900</v>
      </c>
      <c r="W36">
        <v>0.4</v>
      </c>
      <c r="X36" s="30" t="s">
        <v>83</v>
      </c>
      <c r="Y36" s="30" t="s">
        <v>96</v>
      </c>
      <c r="Z36" s="30" t="s">
        <v>83</v>
      </c>
      <c r="AA36" s="30" t="s">
        <v>5</v>
      </c>
      <c r="AB36" s="30" t="s">
        <v>140</v>
      </c>
      <c r="AC36" s="30" t="s">
        <v>352</v>
      </c>
      <c r="AD36" s="30" t="s">
        <v>353</v>
      </c>
      <c r="AE36" s="30"/>
      <c r="AK36" s="39"/>
    </row>
    <row r="37" spans="12:37" x14ac:dyDescent="0.25">
      <c r="L37" s="30" t="str">
        <f>"CE"&amp;V37</f>
        <v>CE21000</v>
      </c>
      <c r="M37" s="30" t="str">
        <f>"PE"&amp;V37</f>
        <v>PE21000</v>
      </c>
      <c r="N37" s="30" t="s">
        <v>354</v>
      </c>
      <c r="O37" s="30" t="s">
        <v>124</v>
      </c>
      <c r="P37" s="30" t="s">
        <v>355</v>
      </c>
      <c r="Q37" s="30" t="s">
        <v>5</v>
      </c>
      <c r="R37" s="30" t="s">
        <v>356</v>
      </c>
      <c r="S37" s="30" t="s">
        <v>357</v>
      </c>
      <c r="T37" s="30" t="s">
        <v>358</v>
      </c>
      <c r="U37" s="30" t="s">
        <v>359</v>
      </c>
      <c r="V37">
        <v>21000</v>
      </c>
      <c r="W37">
        <v>0.5</v>
      </c>
      <c r="X37" s="30" t="s">
        <v>81</v>
      </c>
      <c r="Y37" s="30" t="s">
        <v>245</v>
      </c>
      <c r="Z37" s="30" t="s">
        <v>86</v>
      </c>
      <c r="AA37" s="30" t="s">
        <v>5</v>
      </c>
      <c r="AB37" s="30" t="s">
        <v>360</v>
      </c>
      <c r="AC37" s="30" t="s">
        <v>361</v>
      </c>
      <c r="AD37" s="30" t="s">
        <v>362</v>
      </c>
      <c r="AE37" s="30"/>
      <c r="AK37" s="39"/>
    </row>
    <row r="38" spans="12:37" x14ac:dyDescent="0.25">
      <c r="L38" s="30" t="str">
        <f>"CE"&amp;V38</f>
        <v>CE21100</v>
      </c>
      <c r="M38" s="30" t="str">
        <f>"PE"&amp;V38</f>
        <v>PE21100</v>
      </c>
      <c r="N38" s="30" t="s">
        <v>89</v>
      </c>
      <c r="O38" s="30" t="s">
        <v>5</v>
      </c>
      <c r="P38" s="30" t="s">
        <v>69</v>
      </c>
      <c r="Q38" s="30" t="s">
        <v>5</v>
      </c>
      <c r="R38" s="30" t="s">
        <v>174</v>
      </c>
      <c r="S38" s="30" t="s">
        <v>175</v>
      </c>
      <c r="T38" s="30" t="s">
        <v>363</v>
      </c>
      <c r="U38" s="30" t="s">
        <v>364</v>
      </c>
      <c r="V38">
        <v>21100</v>
      </c>
      <c r="W38">
        <v>0.45</v>
      </c>
      <c r="X38" s="30" t="s">
        <v>81</v>
      </c>
      <c r="Y38" s="30" t="s">
        <v>123</v>
      </c>
      <c r="Z38" s="30" t="s">
        <v>83</v>
      </c>
      <c r="AA38" s="30" t="s">
        <v>5</v>
      </c>
      <c r="AB38" s="30" t="s">
        <v>365</v>
      </c>
      <c r="AC38" s="30" t="s">
        <v>366</v>
      </c>
      <c r="AD38" s="30" t="s">
        <v>367</v>
      </c>
      <c r="AE38" s="30"/>
      <c r="AK38" s="39"/>
    </row>
    <row r="39" spans="12:37" x14ac:dyDescent="0.25">
      <c r="L39" s="30" t="str">
        <f>"CE"&amp;V39</f>
        <v>CE21200</v>
      </c>
      <c r="M39" s="30" t="str">
        <f>"PE"&amp;V39</f>
        <v>PE21200</v>
      </c>
      <c r="N39" s="30" t="s">
        <v>178</v>
      </c>
      <c r="O39" s="30" t="s">
        <v>5</v>
      </c>
      <c r="P39" s="30" t="s">
        <v>71</v>
      </c>
      <c r="Q39" s="30" t="s">
        <v>5</v>
      </c>
      <c r="R39" s="30" t="s">
        <v>179</v>
      </c>
      <c r="S39" s="30" t="s">
        <v>180</v>
      </c>
      <c r="T39" s="30" t="s">
        <v>181</v>
      </c>
      <c r="U39" s="30" t="s">
        <v>368</v>
      </c>
      <c r="V39">
        <v>21200</v>
      </c>
      <c r="W39">
        <v>0.55000000000000004</v>
      </c>
      <c r="X39" s="30" t="s">
        <v>81</v>
      </c>
      <c r="Y39" s="30" t="s">
        <v>183</v>
      </c>
      <c r="Z39" s="30" t="s">
        <v>83</v>
      </c>
      <c r="AA39" s="30" t="s">
        <v>5</v>
      </c>
      <c r="AB39" s="30" t="s">
        <v>369</v>
      </c>
      <c r="AC39" s="30" t="s">
        <v>370</v>
      </c>
      <c r="AD39" s="30" t="s">
        <v>371</v>
      </c>
      <c r="AE39" s="30"/>
      <c r="AK39" s="39"/>
    </row>
    <row r="40" spans="12:37" x14ac:dyDescent="0.25">
      <c r="L40" s="30" t="str">
        <f>"CE"&amp;V40</f>
        <v>CE21300</v>
      </c>
      <c r="M40" s="30" t="str">
        <f>"PE"&amp;V40</f>
        <v>PE21300</v>
      </c>
      <c r="N40" s="30" t="s">
        <v>131</v>
      </c>
      <c r="O40" s="30" t="s">
        <v>5</v>
      </c>
      <c r="P40" s="30" t="s">
        <v>5</v>
      </c>
      <c r="Q40" s="30" t="s">
        <v>5</v>
      </c>
      <c r="R40" s="30" t="s">
        <v>5</v>
      </c>
      <c r="S40" s="30" t="s">
        <v>5</v>
      </c>
      <c r="T40" s="30" t="s">
        <v>372</v>
      </c>
      <c r="U40" s="30" t="s">
        <v>373</v>
      </c>
      <c r="V40">
        <v>21300</v>
      </c>
      <c r="W40">
        <v>0.5</v>
      </c>
      <c r="X40" s="30" t="s">
        <v>81</v>
      </c>
      <c r="Y40" s="30" t="s">
        <v>374</v>
      </c>
      <c r="Z40" s="30" t="s">
        <v>83</v>
      </c>
      <c r="AA40" s="30" t="s">
        <v>5</v>
      </c>
      <c r="AB40" s="30" t="s">
        <v>375</v>
      </c>
      <c r="AC40" s="30" t="s">
        <v>132</v>
      </c>
      <c r="AD40" s="30" t="s">
        <v>376</v>
      </c>
      <c r="AE40" s="30"/>
      <c r="AK40" s="39"/>
    </row>
    <row r="41" spans="12:37" x14ac:dyDescent="0.25">
      <c r="L41" s="30" t="str">
        <f>"CE"&amp;V41</f>
        <v>CE21400</v>
      </c>
      <c r="M41" s="30" t="str">
        <f>"PE"&amp;V41</f>
        <v>PE21400</v>
      </c>
      <c r="N41" s="30" t="s">
        <v>377</v>
      </c>
      <c r="O41" s="30" t="s">
        <v>164</v>
      </c>
      <c r="P41" s="30" t="s">
        <v>378</v>
      </c>
      <c r="Q41" s="30" t="s">
        <v>5</v>
      </c>
      <c r="R41" s="30" t="s">
        <v>379</v>
      </c>
      <c r="S41" s="30" t="s">
        <v>380</v>
      </c>
      <c r="T41" s="30" t="s">
        <v>381</v>
      </c>
      <c r="U41" s="30" t="s">
        <v>382</v>
      </c>
      <c r="V41">
        <v>21400</v>
      </c>
      <c r="W41">
        <v>0.55000000000000004</v>
      </c>
      <c r="X41" s="30" t="s">
        <v>84</v>
      </c>
      <c r="Y41" s="30" t="s">
        <v>383</v>
      </c>
      <c r="Z41" s="30" t="s">
        <v>78</v>
      </c>
      <c r="AA41" s="30" t="s">
        <v>5</v>
      </c>
      <c r="AB41" s="30" t="s">
        <v>384</v>
      </c>
      <c r="AC41" s="30" t="s">
        <v>153</v>
      </c>
      <c r="AD41" s="30" t="s">
        <v>385</v>
      </c>
      <c r="AE41" s="30"/>
      <c r="AK41" s="39"/>
    </row>
    <row r="42" spans="12:37" x14ac:dyDescent="0.25">
      <c r="L42" s="30" t="str">
        <f>"CE"&amp;V42</f>
        <v>CE21500</v>
      </c>
      <c r="M42" s="30" t="str">
        <f>"PE"&amp;V42</f>
        <v>PE21500</v>
      </c>
      <c r="N42" s="30" t="s">
        <v>185</v>
      </c>
      <c r="O42" s="30" t="s">
        <v>186</v>
      </c>
      <c r="P42" s="30" t="s">
        <v>187</v>
      </c>
      <c r="Q42" s="30" t="s">
        <v>5</v>
      </c>
      <c r="R42" s="30" t="s">
        <v>188</v>
      </c>
      <c r="S42" s="30" t="s">
        <v>189</v>
      </c>
      <c r="T42" s="30" t="s">
        <v>386</v>
      </c>
      <c r="U42" s="30" t="s">
        <v>387</v>
      </c>
      <c r="V42">
        <v>21500</v>
      </c>
      <c r="W42">
        <v>0.55000000000000004</v>
      </c>
      <c r="X42" s="30" t="s">
        <v>84</v>
      </c>
      <c r="Y42" s="30" t="s">
        <v>184</v>
      </c>
      <c r="Z42" s="30" t="s">
        <v>81</v>
      </c>
      <c r="AA42" s="30" t="s">
        <v>5</v>
      </c>
      <c r="AB42" s="30" t="s">
        <v>388</v>
      </c>
      <c r="AC42" s="30" t="s">
        <v>389</v>
      </c>
      <c r="AD42" s="30" t="s">
        <v>390</v>
      </c>
      <c r="AE42" s="30"/>
      <c r="AK42" s="39"/>
    </row>
    <row r="43" spans="12:37" x14ac:dyDescent="0.25">
      <c r="L43" s="30" t="str">
        <f>"CE"&amp;V43</f>
        <v>CE21600</v>
      </c>
      <c r="M43" s="30" t="str">
        <f>"PE"&amp;V43</f>
        <v>PE21600</v>
      </c>
      <c r="N43" s="30" t="s">
        <v>190</v>
      </c>
      <c r="O43" s="30" t="s">
        <v>5</v>
      </c>
      <c r="P43" s="30" t="s">
        <v>191</v>
      </c>
      <c r="Q43" s="30" t="s">
        <v>5</v>
      </c>
      <c r="R43" s="30" t="s">
        <v>192</v>
      </c>
      <c r="S43" s="30" t="s">
        <v>193</v>
      </c>
      <c r="T43" s="30" t="s">
        <v>391</v>
      </c>
      <c r="U43" s="30" t="s">
        <v>392</v>
      </c>
      <c r="V43">
        <v>21600</v>
      </c>
      <c r="W43">
        <v>0.5</v>
      </c>
      <c r="X43" s="30" t="s">
        <v>81</v>
      </c>
      <c r="Y43" s="30" t="s">
        <v>235</v>
      </c>
      <c r="Z43" s="30" t="s">
        <v>86</v>
      </c>
      <c r="AA43" s="30" t="s">
        <v>5</v>
      </c>
      <c r="AB43" s="30" t="s">
        <v>393</v>
      </c>
      <c r="AC43" s="30" t="s">
        <v>394</v>
      </c>
      <c r="AD43" s="30" t="s">
        <v>395</v>
      </c>
      <c r="AE43" s="30"/>
      <c r="AK43" s="39"/>
    </row>
    <row r="44" spans="12:37" x14ac:dyDescent="0.25">
      <c r="L44" s="30" t="str">
        <f>"CE"&amp;V44</f>
        <v>CE21700</v>
      </c>
      <c r="M44" s="30" t="str">
        <f>"PE"&amp;V44</f>
        <v>PE21700</v>
      </c>
      <c r="N44" s="30" t="s">
        <v>194</v>
      </c>
      <c r="O44" s="30" t="s">
        <v>5</v>
      </c>
      <c r="P44" s="30" t="s">
        <v>72</v>
      </c>
      <c r="Q44" s="30" t="s">
        <v>5</v>
      </c>
      <c r="R44" s="30" t="s">
        <v>195</v>
      </c>
      <c r="S44" s="30" t="s">
        <v>196</v>
      </c>
      <c r="T44" s="30" t="s">
        <v>396</v>
      </c>
      <c r="U44" s="30" t="s">
        <v>397</v>
      </c>
      <c r="V44">
        <v>21700</v>
      </c>
      <c r="W44">
        <v>0.5</v>
      </c>
      <c r="X44" s="30" t="s">
        <v>81</v>
      </c>
      <c r="Y44" s="30" t="s">
        <v>398</v>
      </c>
      <c r="Z44" s="30" t="s">
        <v>86</v>
      </c>
      <c r="AA44" s="30" t="s">
        <v>5</v>
      </c>
      <c r="AB44" s="30" t="s">
        <v>399</v>
      </c>
      <c r="AC44" s="30" t="s">
        <v>400</v>
      </c>
      <c r="AD44" s="30" t="s">
        <v>401</v>
      </c>
      <c r="AE44" s="30"/>
      <c r="AK44" s="39"/>
    </row>
    <row r="45" spans="12:37" x14ac:dyDescent="0.25">
      <c r="L45" s="30" t="str">
        <f>"CE"&amp;V45</f>
        <v>CE21800</v>
      </c>
      <c r="M45" s="30" t="str">
        <f>"PE"&amp;V45</f>
        <v>PE21800</v>
      </c>
      <c r="N45" s="30" t="s">
        <v>402</v>
      </c>
      <c r="O45" s="30" t="s">
        <v>101</v>
      </c>
      <c r="P45" s="30" t="s">
        <v>72</v>
      </c>
      <c r="Q45" s="30" t="s">
        <v>5</v>
      </c>
      <c r="R45" s="30" t="s">
        <v>403</v>
      </c>
      <c r="S45" s="30" t="s">
        <v>404</v>
      </c>
      <c r="T45" s="30" t="s">
        <v>405</v>
      </c>
      <c r="U45" s="30" t="s">
        <v>406</v>
      </c>
      <c r="V45">
        <v>21800</v>
      </c>
      <c r="W45">
        <v>0.55000000000000004</v>
      </c>
      <c r="X45" s="30" t="s">
        <v>78</v>
      </c>
      <c r="Y45" s="30" t="s">
        <v>197</v>
      </c>
      <c r="Z45" s="30" t="s">
        <v>81</v>
      </c>
      <c r="AA45" s="30" t="s">
        <v>5</v>
      </c>
      <c r="AB45" s="30" t="s">
        <v>407</v>
      </c>
      <c r="AC45" s="30" t="s">
        <v>408</v>
      </c>
      <c r="AD45" s="30" t="s">
        <v>409</v>
      </c>
      <c r="AE45" s="30"/>
      <c r="AK45" s="39"/>
    </row>
    <row r="46" spans="12:37" x14ac:dyDescent="0.25">
      <c r="L46" s="30" t="str">
        <f>"CE"&amp;V46</f>
        <v>CE21900</v>
      </c>
      <c r="M46" s="30" t="str">
        <f>"PE"&amp;V46</f>
        <v>PE21900</v>
      </c>
      <c r="N46" s="30" t="s">
        <v>160</v>
      </c>
      <c r="O46" s="30" t="s">
        <v>5</v>
      </c>
      <c r="P46" s="30" t="s">
        <v>5</v>
      </c>
      <c r="Q46" s="30" t="s">
        <v>5</v>
      </c>
      <c r="R46" s="30" t="s">
        <v>5</v>
      </c>
      <c r="S46" s="30" t="s">
        <v>5</v>
      </c>
      <c r="T46" s="30" t="s">
        <v>410</v>
      </c>
      <c r="U46" s="30" t="s">
        <v>411</v>
      </c>
      <c r="V46">
        <v>21900</v>
      </c>
      <c r="W46">
        <v>0.6</v>
      </c>
      <c r="X46" s="30" t="s">
        <v>78</v>
      </c>
      <c r="Y46" s="30" t="s">
        <v>233</v>
      </c>
      <c r="Z46" s="30" t="s">
        <v>78</v>
      </c>
      <c r="AA46" s="30" t="s">
        <v>5</v>
      </c>
      <c r="AB46" s="30" t="s">
        <v>412</v>
      </c>
      <c r="AC46" s="30" t="s">
        <v>103</v>
      </c>
      <c r="AD46" s="30" t="s">
        <v>413</v>
      </c>
      <c r="AE46" s="30"/>
      <c r="AK46" s="39"/>
    </row>
    <row r="47" spans="12:37" x14ac:dyDescent="0.25">
      <c r="L47" s="30" t="str">
        <f>"CE"&amp;V47</f>
        <v>CE22000</v>
      </c>
      <c r="M47" s="30" t="str">
        <f>"PE"&amp;V47</f>
        <v>PE22000</v>
      </c>
      <c r="N47" s="30" t="s">
        <v>414</v>
      </c>
      <c r="O47" s="30" t="s">
        <v>415</v>
      </c>
      <c r="P47" s="30" t="s">
        <v>140</v>
      </c>
      <c r="Q47" s="30" t="s">
        <v>5</v>
      </c>
      <c r="R47" s="30" t="s">
        <v>416</v>
      </c>
      <c r="S47" s="30" t="s">
        <v>417</v>
      </c>
      <c r="T47" s="30" t="s">
        <v>418</v>
      </c>
      <c r="U47" s="30" t="s">
        <v>419</v>
      </c>
      <c r="V47">
        <v>22000</v>
      </c>
      <c r="W47">
        <v>0.75</v>
      </c>
      <c r="X47" s="30" t="s">
        <v>82</v>
      </c>
      <c r="Y47" s="30" t="s">
        <v>420</v>
      </c>
      <c r="Z47" s="30" t="s">
        <v>95</v>
      </c>
      <c r="AA47" s="30" t="s">
        <v>5</v>
      </c>
      <c r="AB47" s="30" t="s">
        <v>421</v>
      </c>
      <c r="AC47" s="30" t="s">
        <v>422</v>
      </c>
      <c r="AD47" s="30" t="s">
        <v>423</v>
      </c>
      <c r="AE47" s="30"/>
      <c r="AK47" s="39"/>
    </row>
    <row r="48" spans="12:37" x14ac:dyDescent="0.25">
      <c r="L48" s="30" t="str">
        <f>"CE"&amp;V48</f>
        <v>CE22100</v>
      </c>
      <c r="M48" s="30" t="str">
        <f>"PE"&amp;V48</f>
        <v>PE22100</v>
      </c>
      <c r="N48" s="30" t="s">
        <v>163</v>
      </c>
      <c r="O48" s="30" t="s">
        <v>198</v>
      </c>
      <c r="P48" s="30" t="s">
        <v>102</v>
      </c>
      <c r="Q48" s="30" t="s">
        <v>5</v>
      </c>
      <c r="R48" s="30" t="s">
        <v>199</v>
      </c>
      <c r="S48" s="30" t="s">
        <v>200</v>
      </c>
      <c r="T48" s="30" t="s">
        <v>424</v>
      </c>
      <c r="U48" s="30" t="s">
        <v>425</v>
      </c>
      <c r="V48">
        <v>22100</v>
      </c>
      <c r="W48">
        <v>0.85</v>
      </c>
      <c r="X48" s="30" t="s">
        <v>114</v>
      </c>
      <c r="Y48" s="30" t="s">
        <v>201</v>
      </c>
      <c r="Z48" s="30" t="s">
        <v>79</v>
      </c>
      <c r="AA48" s="30" t="s">
        <v>5</v>
      </c>
      <c r="AB48" s="30" t="s">
        <v>426</v>
      </c>
      <c r="AC48" s="30" t="s">
        <v>427</v>
      </c>
      <c r="AD48" s="30" t="s">
        <v>428</v>
      </c>
      <c r="AE48" s="30"/>
      <c r="AK48" s="39"/>
    </row>
    <row r="49" spans="12:37" x14ac:dyDescent="0.25">
      <c r="L49" s="30" t="str">
        <f>"CE"&amp;V49</f>
        <v>CE22200</v>
      </c>
      <c r="M49" s="30" t="str">
        <f>"PE"&amp;V49</f>
        <v>PE22200</v>
      </c>
      <c r="N49" s="30" t="s">
        <v>202</v>
      </c>
      <c r="O49" s="30" t="s">
        <v>129</v>
      </c>
      <c r="P49" s="30" t="s">
        <v>203</v>
      </c>
      <c r="Q49" s="30" t="s">
        <v>5</v>
      </c>
      <c r="R49" s="30" t="s">
        <v>204</v>
      </c>
      <c r="S49" s="30" t="s">
        <v>205</v>
      </c>
      <c r="T49" s="30" t="s">
        <v>429</v>
      </c>
      <c r="U49" s="30" t="s">
        <v>430</v>
      </c>
      <c r="V49">
        <v>22200</v>
      </c>
      <c r="W49">
        <v>1</v>
      </c>
      <c r="X49" s="30" t="s">
        <v>207</v>
      </c>
      <c r="Y49" s="30" t="s">
        <v>206</v>
      </c>
      <c r="Z49" s="30" t="s">
        <v>113</v>
      </c>
      <c r="AA49" s="30" t="s">
        <v>5</v>
      </c>
      <c r="AB49" s="30" t="s">
        <v>431</v>
      </c>
      <c r="AC49" s="30" t="s">
        <v>432</v>
      </c>
      <c r="AD49" s="30" t="s">
        <v>224</v>
      </c>
      <c r="AE49" s="30"/>
      <c r="AK49" s="39"/>
    </row>
    <row r="50" spans="12:37" x14ac:dyDescent="0.25">
      <c r="L50" s="30" t="str">
        <f>"CE"&amp;V50</f>
        <v>CE22300</v>
      </c>
      <c r="M50" s="30" t="str">
        <f>"PE"&amp;V50</f>
        <v>PE22300</v>
      </c>
      <c r="N50" s="30" t="s">
        <v>433</v>
      </c>
      <c r="O50" s="30" t="s">
        <v>198</v>
      </c>
      <c r="P50" s="30" t="s">
        <v>191</v>
      </c>
      <c r="Q50" s="30" t="s">
        <v>5</v>
      </c>
      <c r="R50" s="30" t="s">
        <v>434</v>
      </c>
      <c r="S50" s="30" t="s">
        <v>435</v>
      </c>
      <c r="T50" s="30" t="s">
        <v>436</v>
      </c>
      <c r="U50" s="30" t="s">
        <v>437</v>
      </c>
      <c r="V50">
        <v>22300</v>
      </c>
      <c r="W50">
        <v>1.1000000000000001</v>
      </c>
      <c r="X50" s="30" t="s">
        <v>213</v>
      </c>
      <c r="Y50" s="30" t="s">
        <v>438</v>
      </c>
      <c r="Z50" s="30" t="s">
        <v>212</v>
      </c>
      <c r="AA50" s="30" t="s">
        <v>5</v>
      </c>
      <c r="AB50" s="30" t="s">
        <v>439</v>
      </c>
      <c r="AC50" s="30" t="s">
        <v>440</v>
      </c>
      <c r="AD50" s="30" t="s">
        <v>441</v>
      </c>
      <c r="AE50" s="30"/>
      <c r="AK50" s="39"/>
    </row>
    <row r="51" spans="12:37" x14ac:dyDescent="0.25">
      <c r="L51" s="30" t="str">
        <f>"CE"&amp;V51</f>
        <v>CE22400</v>
      </c>
      <c r="M51" s="30" t="str">
        <f>"PE"&amp;V51</f>
        <v>PE22400</v>
      </c>
      <c r="N51" s="30" t="s">
        <v>208</v>
      </c>
      <c r="O51" s="30" t="s">
        <v>101</v>
      </c>
      <c r="P51" s="30" t="s">
        <v>209</v>
      </c>
      <c r="Q51" s="30" t="s">
        <v>5</v>
      </c>
      <c r="R51" s="30" t="s">
        <v>210</v>
      </c>
      <c r="S51" s="30" t="s">
        <v>211</v>
      </c>
      <c r="T51" s="30" t="s">
        <v>442</v>
      </c>
      <c r="U51" s="30" t="s">
        <v>443</v>
      </c>
      <c r="V51">
        <v>22400</v>
      </c>
      <c r="W51">
        <v>1.1499999999999999</v>
      </c>
      <c r="X51" s="30" t="s">
        <v>156</v>
      </c>
      <c r="Y51" s="30" t="s">
        <v>444</v>
      </c>
      <c r="Z51" s="30" t="s">
        <v>158</v>
      </c>
      <c r="AA51" s="30" t="s">
        <v>5</v>
      </c>
      <c r="AB51" s="30" t="s">
        <v>445</v>
      </c>
      <c r="AC51" s="30" t="s">
        <v>446</v>
      </c>
      <c r="AD51" s="30" t="s">
        <v>447</v>
      </c>
      <c r="AE51" s="30"/>
      <c r="AK51" s="39"/>
    </row>
    <row r="52" spans="12:37" x14ac:dyDescent="0.25">
      <c r="L52" s="30" t="str">
        <f>"CE"&amp;V52</f>
        <v>CE22500</v>
      </c>
      <c r="M52" s="30" t="str">
        <f>"PE"&amp;V52</f>
        <v>PE22500</v>
      </c>
      <c r="N52" s="30" t="s">
        <v>448</v>
      </c>
      <c r="O52" s="30" t="s">
        <v>449</v>
      </c>
      <c r="P52" s="30" t="s">
        <v>450</v>
      </c>
      <c r="Q52" s="30" t="s">
        <v>5</v>
      </c>
      <c r="R52" s="30" t="s">
        <v>451</v>
      </c>
      <c r="S52" s="30" t="s">
        <v>452</v>
      </c>
      <c r="T52" s="30" t="s">
        <v>453</v>
      </c>
      <c r="U52" s="30" t="s">
        <v>454</v>
      </c>
      <c r="V52">
        <v>22500</v>
      </c>
      <c r="W52">
        <v>1.3</v>
      </c>
      <c r="X52" s="30" t="s">
        <v>228</v>
      </c>
      <c r="Y52" s="30" t="s">
        <v>455</v>
      </c>
      <c r="Z52" s="30" t="s">
        <v>149</v>
      </c>
      <c r="AA52" s="30" t="s">
        <v>5</v>
      </c>
      <c r="AB52" s="30" t="s">
        <v>456</v>
      </c>
      <c r="AC52" s="30" t="s">
        <v>457</v>
      </c>
      <c r="AD52" s="30" t="s">
        <v>458</v>
      </c>
      <c r="AE52" s="30"/>
      <c r="AK52" s="39"/>
    </row>
    <row r="53" spans="12:37" x14ac:dyDescent="0.25">
      <c r="L53" s="30" t="str">
        <f>"CE"&amp;V53</f>
        <v>CE22600</v>
      </c>
      <c r="M53" s="30" t="str">
        <f>"PE"&amp;V53</f>
        <v>PE22600</v>
      </c>
      <c r="N53" s="30" t="s">
        <v>214</v>
      </c>
      <c r="O53" s="30" t="s">
        <v>215</v>
      </c>
      <c r="P53" s="30" t="s">
        <v>459</v>
      </c>
      <c r="Q53" s="30" t="s">
        <v>5</v>
      </c>
      <c r="R53" s="30" t="s">
        <v>460</v>
      </c>
      <c r="S53" s="30" t="s">
        <v>461</v>
      </c>
      <c r="T53" s="30" t="s">
        <v>462</v>
      </c>
      <c r="U53" s="30" t="s">
        <v>463</v>
      </c>
      <c r="V53">
        <v>22600</v>
      </c>
      <c r="W53">
        <v>1.4</v>
      </c>
      <c r="X53" s="30" t="s">
        <v>125</v>
      </c>
      <c r="Y53" s="30" t="s">
        <v>464</v>
      </c>
      <c r="Z53" s="30" t="s">
        <v>125</v>
      </c>
      <c r="AA53" s="30" t="s">
        <v>5</v>
      </c>
      <c r="AB53" s="30" t="s">
        <v>465</v>
      </c>
      <c r="AC53" s="30" t="s">
        <v>466</v>
      </c>
      <c r="AD53" s="30" t="s">
        <v>467</v>
      </c>
      <c r="AE53" s="30"/>
      <c r="AK53" s="39"/>
    </row>
    <row r="54" spans="12:37" x14ac:dyDescent="0.25">
      <c r="L54" s="30" t="str">
        <f>"CE"&amp;V54</f>
        <v>CE22700</v>
      </c>
      <c r="M54" s="30" t="str">
        <f>"PE"&amp;V54</f>
        <v>PE22700</v>
      </c>
      <c r="N54" s="30" t="s">
        <v>216</v>
      </c>
      <c r="O54" s="30" t="s">
        <v>217</v>
      </c>
      <c r="P54" s="30" t="s">
        <v>218</v>
      </c>
      <c r="Q54" s="30" t="s">
        <v>5</v>
      </c>
      <c r="R54" s="30" t="s">
        <v>219</v>
      </c>
      <c r="S54" s="30" t="s">
        <v>220</v>
      </c>
      <c r="T54" s="30" t="s">
        <v>468</v>
      </c>
      <c r="U54" s="30" t="s">
        <v>139</v>
      </c>
      <c r="V54">
        <v>22700</v>
      </c>
      <c r="W54">
        <v>1.55</v>
      </c>
      <c r="X54" s="30" t="s">
        <v>226</v>
      </c>
      <c r="Y54" s="30" t="s">
        <v>469</v>
      </c>
      <c r="Z54" s="30" t="s">
        <v>226</v>
      </c>
      <c r="AA54" s="30" t="s">
        <v>5</v>
      </c>
      <c r="AB54" s="30" t="s">
        <v>470</v>
      </c>
      <c r="AC54" s="30" t="s">
        <v>471</v>
      </c>
      <c r="AD54" s="30" t="s">
        <v>472</v>
      </c>
      <c r="AE54" s="30"/>
      <c r="AK54" s="39"/>
    </row>
    <row r="55" spans="12:37" x14ac:dyDescent="0.25">
      <c r="L55" s="30" t="str">
        <f>"CE"&amp;V55</f>
        <v>CE22800</v>
      </c>
      <c r="M55" s="30" t="str">
        <f>"PE"&amp;V55</f>
        <v>PE22800</v>
      </c>
      <c r="N55" s="30" t="s">
        <v>473</v>
      </c>
      <c r="O55" s="30" t="s">
        <v>474</v>
      </c>
      <c r="P55" s="30" t="s">
        <v>475</v>
      </c>
      <c r="Q55" s="30" t="s">
        <v>5</v>
      </c>
      <c r="R55" s="30" t="s">
        <v>476</v>
      </c>
      <c r="S55" s="30" t="s">
        <v>477</v>
      </c>
      <c r="T55" s="30" t="s">
        <v>478</v>
      </c>
      <c r="U55" s="30" t="s">
        <v>479</v>
      </c>
      <c r="V55">
        <v>22800</v>
      </c>
      <c r="W55">
        <v>1.85</v>
      </c>
      <c r="X55" s="30" t="s">
        <v>126</v>
      </c>
      <c r="Y55" s="30" t="s">
        <v>480</v>
      </c>
      <c r="Z55" s="30" t="s">
        <v>225</v>
      </c>
      <c r="AA55" s="30" t="s">
        <v>5</v>
      </c>
      <c r="AB55" s="30" t="s">
        <v>481</v>
      </c>
      <c r="AC55" s="30" t="s">
        <v>482</v>
      </c>
      <c r="AD55" s="30" t="s">
        <v>483</v>
      </c>
      <c r="AE55" s="30"/>
      <c r="AK55" s="39"/>
    </row>
    <row r="56" spans="12:37" x14ac:dyDescent="0.25">
      <c r="L56" s="30" t="str">
        <f>"CE"&amp;V56</f>
        <v>CE22900</v>
      </c>
      <c r="M56" s="30" t="str">
        <f>"PE"&amp;V56</f>
        <v>PE22900</v>
      </c>
      <c r="N56" s="30" t="s">
        <v>484</v>
      </c>
      <c r="O56" s="30" t="s">
        <v>485</v>
      </c>
      <c r="P56" s="30" t="s">
        <v>133</v>
      </c>
      <c r="Q56" s="30" t="s">
        <v>5</v>
      </c>
      <c r="R56" s="30" t="s">
        <v>486</v>
      </c>
      <c r="S56" s="30" t="s">
        <v>487</v>
      </c>
      <c r="T56" s="30" t="s">
        <v>488</v>
      </c>
      <c r="U56" s="30" t="s">
        <v>489</v>
      </c>
      <c r="V56">
        <v>22900</v>
      </c>
      <c r="W56">
        <v>2.4</v>
      </c>
      <c r="X56" s="30" t="s">
        <v>134</v>
      </c>
      <c r="Y56" s="30" t="s">
        <v>490</v>
      </c>
      <c r="Z56" s="30" t="s">
        <v>134</v>
      </c>
      <c r="AA56" s="30" t="s">
        <v>5</v>
      </c>
      <c r="AB56" s="30" t="s">
        <v>491</v>
      </c>
      <c r="AC56" s="30" t="s">
        <v>492</v>
      </c>
      <c r="AD56" s="30" t="s">
        <v>493</v>
      </c>
      <c r="AE56" s="30"/>
      <c r="AK56" s="39"/>
    </row>
    <row r="57" spans="12:37" x14ac:dyDescent="0.25">
      <c r="L57" s="30" t="str">
        <f>"CE"&amp;V57</f>
        <v>CE23000</v>
      </c>
      <c r="M57" s="30" t="str">
        <f>"PE"&amp;V57</f>
        <v>PE23000</v>
      </c>
      <c r="N57" s="30" t="s">
        <v>494</v>
      </c>
      <c r="O57" s="30" t="s">
        <v>495</v>
      </c>
      <c r="P57" s="30" t="s">
        <v>496</v>
      </c>
      <c r="Q57" s="30" t="s">
        <v>5</v>
      </c>
      <c r="R57" s="30" t="s">
        <v>497</v>
      </c>
      <c r="S57" s="30" t="s">
        <v>498</v>
      </c>
      <c r="T57" s="30" t="s">
        <v>499</v>
      </c>
      <c r="U57" s="30" t="s">
        <v>500</v>
      </c>
      <c r="V57">
        <v>23000</v>
      </c>
      <c r="W57">
        <v>3</v>
      </c>
      <c r="X57" s="30" t="s">
        <v>121</v>
      </c>
      <c r="Y57" s="30" t="s">
        <v>501</v>
      </c>
      <c r="Z57" s="30" t="s">
        <v>121</v>
      </c>
      <c r="AA57" s="30" t="s">
        <v>5</v>
      </c>
      <c r="AB57" s="30" t="s">
        <v>502</v>
      </c>
      <c r="AC57" s="30" t="s">
        <v>503</v>
      </c>
      <c r="AD57" s="30" t="s">
        <v>504</v>
      </c>
      <c r="AE57" s="30"/>
      <c r="AK57" s="39"/>
    </row>
    <row r="58" spans="12:37" x14ac:dyDescent="0.25">
      <c r="L58" s="30" t="str">
        <f>"CE"&amp;V58</f>
        <v>CE23100</v>
      </c>
      <c r="M58" s="30" t="str">
        <f>"PE"&amp;V58</f>
        <v>PE23100</v>
      </c>
      <c r="N58" s="30" t="s">
        <v>505</v>
      </c>
      <c r="O58" s="30" t="s">
        <v>506</v>
      </c>
      <c r="P58" s="30" t="s">
        <v>507</v>
      </c>
      <c r="Q58" s="30" t="s">
        <v>5</v>
      </c>
      <c r="R58" s="30" t="s">
        <v>508</v>
      </c>
      <c r="S58" s="30" t="s">
        <v>509</v>
      </c>
      <c r="T58" s="30" t="s">
        <v>510</v>
      </c>
      <c r="U58" s="30" t="s">
        <v>511</v>
      </c>
      <c r="V58">
        <v>23100</v>
      </c>
      <c r="W58">
        <v>3.8</v>
      </c>
      <c r="X58" s="30" t="s">
        <v>512</v>
      </c>
      <c r="Y58" s="30" t="s">
        <v>513</v>
      </c>
      <c r="Z58" s="30" t="s">
        <v>514</v>
      </c>
      <c r="AA58" s="30" t="s">
        <v>5</v>
      </c>
      <c r="AB58" s="30" t="s">
        <v>515</v>
      </c>
      <c r="AC58" s="30" t="s">
        <v>516</v>
      </c>
      <c r="AD58" s="30" t="s">
        <v>517</v>
      </c>
      <c r="AE58" s="30"/>
      <c r="AK58" s="39"/>
    </row>
    <row r="59" spans="12:37" x14ac:dyDescent="0.25">
      <c r="L59" s="30" t="str">
        <f>"CE"&amp;V59</f>
        <v>CE23200</v>
      </c>
      <c r="M59" s="30" t="str">
        <f>"PE"&amp;V59</f>
        <v>PE23200</v>
      </c>
      <c r="N59" s="30" t="s">
        <v>518</v>
      </c>
      <c r="O59" s="30" t="s">
        <v>519</v>
      </c>
      <c r="P59" s="30" t="s">
        <v>520</v>
      </c>
      <c r="Q59" s="30" t="s">
        <v>5</v>
      </c>
      <c r="R59" s="30" t="s">
        <v>521</v>
      </c>
      <c r="S59" s="30" t="s">
        <v>522</v>
      </c>
      <c r="T59" s="30" t="s">
        <v>523</v>
      </c>
      <c r="U59" s="30" t="s">
        <v>524</v>
      </c>
      <c r="V59">
        <v>23200</v>
      </c>
      <c r="W59">
        <v>4.8</v>
      </c>
      <c r="X59" s="30" t="s">
        <v>525</v>
      </c>
      <c r="Y59" s="30" t="s">
        <v>526</v>
      </c>
      <c r="Z59" s="30" t="s">
        <v>527</v>
      </c>
      <c r="AA59" s="30" t="s">
        <v>5</v>
      </c>
      <c r="AB59" s="30" t="s">
        <v>528</v>
      </c>
      <c r="AC59" s="30" t="s">
        <v>529</v>
      </c>
      <c r="AD59" s="30" t="s">
        <v>530</v>
      </c>
      <c r="AE59" s="30"/>
      <c r="AK59" s="39"/>
    </row>
    <row r="60" spans="12:37" x14ac:dyDescent="0.25">
      <c r="L60" s="30" t="str">
        <f>"CE"&amp;V60</f>
        <v>CE23300</v>
      </c>
      <c r="M60" s="30" t="str">
        <f>"PE"&amp;V60</f>
        <v>PE23300</v>
      </c>
      <c r="N60" s="30" t="s">
        <v>531</v>
      </c>
      <c r="O60" s="30" t="s">
        <v>532</v>
      </c>
      <c r="P60" s="30" t="s">
        <v>533</v>
      </c>
      <c r="Q60" s="30" t="s">
        <v>5</v>
      </c>
      <c r="R60" s="30" t="s">
        <v>534</v>
      </c>
      <c r="S60" s="30" t="s">
        <v>535</v>
      </c>
      <c r="T60" s="30" t="s">
        <v>536</v>
      </c>
      <c r="U60" s="30" t="s">
        <v>537</v>
      </c>
      <c r="V60">
        <v>23300</v>
      </c>
      <c r="W60">
        <v>6.6</v>
      </c>
      <c r="X60" s="30" t="s">
        <v>538</v>
      </c>
      <c r="Y60" s="30" t="s">
        <v>539</v>
      </c>
      <c r="Z60" s="30" t="s">
        <v>538</v>
      </c>
      <c r="AA60" s="30" t="s">
        <v>5</v>
      </c>
      <c r="AB60" s="30" t="s">
        <v>540</v>
      </c>
      <c r="AC60" s="30" t="s">
        <v>541</v>
      </c>
      <c r="AD60" s="30" t="s">
        <v>542</v>
      </c>
      <c r="AE60" s="30"/>
      <c r="AK60" s="39"/>
    </row>
    <row r="61" spans="12:37" x14ac:dyDescent="0.25">
      <c r="L61" s="30" t="str">
        <f>"CE"&amp;V61</f>
        <v>CE23400</v>
      </c>
      <c r="M61" s="30" t="str">
        <f>"PE"&amp;V61</f>
        <v>PE23400</v>
      </c>
      <c r="N61" s="30" t="s">
        <v>543</v>
      </c>
      <c r="O61" s="30" t="s">
        <v>544</v>
      </c>
      <c r="P61" s="30" t="s">
        <v>545</v>
      </c>
      <c r="Q61" s="30" t="s">
        <v>5</v>
      </c>
      <c r="R61" s="30" t="s">
        <v>546</v>
      </c>
      <c r="S61" s="30" t="s">
        <v>547</v>
      </c>
      <c r="T61" s="30" t="s">
        <v>548</v>
      </c>
      <c r="U61" s="30" t="s">
        <v>549</v>
      </c>
      <c r="V61">
        <v>23400</v>
      </c>
      <c r="W61">
        <v>9.65</v>
      </c>
      <c r="X61" s="30" t="s">
        <v>550</v>
      </c>
      <c r="Y61" s="30" t="s">
        <v>551</v>
      </c>
      <c r="Z61" s="30" t="s">
        <v>552</v>
      </c>
      <c r="AA61" s="30" t="s">
        <v>5</v>
      </c>
      <c r="AB61" s="30" t="s">
        <v>553</v>
      </c>
      <c r="AC61" s="30" t="s">
        <v>554</v>
      </c>
      <c r="AD61" s="30" t="s">
        <v>555</v>
      </c>
      <c r="AE61" s="30"/>
      <c r="AK61" s="39"/>
    </row>
    <row r="62" spans="12:37" x14ac:dyDescent="0.25">
      <c r="L62" s="30" t="str">
        <f>"CE"&amp;V62</f>
        <v>CE23500</v>
      </c>
      <c r="M62" s="30" t="str">
        <f>"PE"&amp;V62</f>
        <v>PE23500</v>
      </c>
      <c r="N62" s="30" t="s">
        <v>556</v>
      </c>
      <c r="O62" s="30" t="s">
        <v>557</v>
      </c>
      <c r="P62" s="30" t="s">
        <v>558</v>
      </c>
      <c r="Q62" s="30" t="s">
        <v>5</v>
      </c>
      <c r="R62" s="30" t="s">
        <v>559</v>
      </c>
      <c r="S62" s="30" t="s">
        <v>560</v>
      </c>
      <c r="T62" s="30" t="s">
        <v>561</v>
      </c>
      <c r="U62" s="30" t="s">
        <v>562</v>
      </c>
      <c r="V62">
        <v>23500</v>
      </c>
      <c r="W62">
        <v>14.65</v>
      </c>
      <c r="X62" s="30" t="s">
        <v>563</v>
      </c>
      <c r="Y62" s="30" t="s">
        <v>564</v>
      </c>
      <c r="Z62" s="30" t="s">
        <v>563</v>
      </c>
      <c r="AA62" s="30" t="s">
        <v>5</v>
      </c>
      <c r="AB62" s="30" t="s">
        <v>565</v>
      </c>
      <c r="AC62" s="30" t="s">
        <v>566</v>
      </c>
      <c r="AD62" s="30" t="s">
        <v>567</v>
      </c>
      <c r="AE62" s="30"/>
      <c r="AK62" s="39"/>
    </row>
    <row r="63" spans="12:37" x14ac:dyDescent="0.25">
      <c r="L63" s="30" t="str">
        <f>"CE"&amp;V63</f>
        <v>CE23600</v>
      </c>
      <c r="M63" s="30" t="str">
        <f>"PE"&amp;V63</f>
        <v>PE23600</v>
      </c>
      <c r="N63" s="30" t="s">
        <v>568</v>
      </c>
      <c r="O63" s="30" t="s">
        <v>569</v>
      </c>
      <c r="P63" s="30" t="s">
        <v>570</v>
      </c>
      <c r="Q63" s="30" t="s">
        <v>5</v>
      </c>
      <c r="R63" s="30" t="s">
        <v>571</v>
      </c>
      <c r="S63" s="30" t="s">
        <v>572</v>
      </c>
      <c r="T63" s="30" t="s">
        <v>573</v>
      </c>
      <c r="U63" s="30" t="s">
        <v>574</v>
      </c>
      <c r="V63">
        <v>23600</v>
      </c>
      <c r="W63">
        <v>22.85</v>
      </c>
      <c r="X63" s="30" t="s">
        <v>575</v>
      </c>
      <c r="Y63" s="30" t="s">
        <v>576</v>
      </c>
      <c r="Z63" s="30" t="s">
        <v>577</v>
      </c>
      <c r="AA63" s="30" t="s">
        <v>5</v>
      </c>
      <c r="AB63" s="30" t="s">
        <v>578</v>
      </c>
      <c r="AC63" s="30" t="s">
        <v>579</v>
      </c>
      <c r="AD63" s="30" t="s">
        <v>580</v>
      </c>
      <c r="AE63" s="30"/>
      <c r="AK63" s="39"/>
    </row>
    <row r="64" spans="12:37" x14ac:dyDescent="0.25">
      <c r="L64" s="30" t="str">
        <f>"CE"&amp;V64</f>
        <v>CE23700</v>
      </c>
      <c r="M64" s="30" t="str">
        <f>"PE"&amp;V64</f>
        <v>PE23700</v>
      </c>
      <c r="N64" s="30" t="s">
        <v>581</v>
      </c>
      <c r="O64" s="30" t="s">
        <v>582</v>
      </c>
      <c r="P64" s="30" t="s">
        <v>583</v>
      </c>
      <c r="Q64" s="30" t="s">
        <v>5</v>
      </c>
      <c r="R64" s="30" t="s">
        <v>584</v>
      </c>
      <c r="S64" s="30" t="s">
        <v>585</v>
      </c>
      <c r="T64" s="30" t="s">
        <v>586</v>
      </c>
      <c r="U64" s="30" t="s">
        <v>587</v>
      </c>
      <c r="V64">
        <v>23700</v>
      </c>
      <c r="W64">
        <v>38</v>
      </c>
      <c r="X64" s="30" t="s">
        <v>588</v>
      </c>
      <c r="Y64" s="30" t="s">
        <v>589</v>
      </c>
      <c r="Z64" s="30" t="s">
        <v>590</v>
      </c>
      <c r="AA64" s="30" t="s">
        <v>5</v>
      </c>
      <c r="AB64" s="30" t="s">
        <v>591</v>
      </c>
      <c r="AC64" s="30" t="s">
        <v>592</v>
      </c>
      <c r="AD64" s="30" t="s">
        <v>593</v>
      </c>
      <c r="AE64" s="30"/>
      <c r="AK64" s="39"/>
    </row>
    <row r="65" spans="12:37" x14ac:dyDescent="0.25">
      <c r="L65" s="30" t="str">
        <f>"CE"&amp;V65</f>
        <v>CE23800</v>
      </c>
      <c r="M65" s="30" t="str">
        <f>"PE"&amp;V65</f>
        <v>PE23800</v>
      </c>
      <c r="N65" s="30" t="s">
        <v>594</v>
      </c>
      <c r="O65" s="30" t="s">
        <v>595</v>
      </c>
      <c r="P65" s="30" t="s">
        <v>596</v>
      </c>
      <c r="Q65" s="30" t="s">
        <v>5</v>
      </c>
      <c r="R65" s="30" t="s">
        <v>597</v>
      </c>
      <c r="S65" s="30" t="s">
        <v>598</v>
      </c>
      <c r="T65" s="30" t="s">
        <v>599</v>
      </c>
      <c r="U65" s="30" t="s">
        <v>600</v>
      </c>
      <c r="V65">
        <v>23800</v>
      </c>
      <c r="W65">
        <v>63.55</v>
      </c>
      <c r="X65" s="30" t="s">
        <v>601</v>
      </c>
      <c r="Y65" s="30" t="s">
        <v>602</v>
      </c>
      <c r="Z65" s="30" t="s">
        <v>603</v>
      </c>
      <c r="AA65" s="30" t="s">
        <v>5</v>
      </c>
      <c r="AB65" s="30" t="s">
        <v>604</v>
      </c>
      <c r="AC65" s="30" t="s">
        <v>605</v>
      </c>
      <c r="AD65" s="30" t="s">
        <v>606</v>
      </c>
      <c r="AE65" s="30"/>
      <c r="AK65" s="39"/>
    </row>
    <row r="66" spans="12:37" x14ac:dyDescent="0.25">
      <c r="L66" s="30" t="str">
        <f>"CE"&amp;V66</f>
        <v>CE23900</v>
      </c>
      <c r="M66" s="30" t="str">
        <f>"PE"&amp;V66</f>
        <v>PE23900</v>
      </c>
      <c r="N66" s="30" t="s">
        <v>607</v>
      </c>
      <c r="O66" s="30" t="s">
        <v>608</v>
      </c>
      <c r="P66" s="30" t="s">
        <v>609</v>
      </c>
      <c r="Q66" s="30" t="s">
        <v>5</v>
      </c>
      <c r="R66" s="30" t="s">
        <v>610</v>
      </c>
      <c r="S66" s="30" t="s">
        <v>611</v>
      </c>
      <c r="T66" s="30" t="s">
        <v>612</v>
      </c>
      <c r="U66" s="30" t="s">
        <v>610</v>
      </c>
      <c r="V66">
        <v>23900</v>
      </c>
      <c r="W66">
        <v>103.4</v>
      </c>
      <c r="X66" s="30" t="s">
        <v>613</v>
      </c>
      <c r="Y66" s="30" t="s">
        <v>614</v>
      </c>
      <c r="Z66" s="30" t="s">
        <v>613</v>
      </c>
      <c r="AA66" s="30" t="s">
        <v>5</v>
      </c>
      <c r="AB66" s="30" t="s">
        <v>615</v>
      </c>
      <c r="AC66" s="30" t="s">
        <v>616</v>
      </c>
      <c r="AD66" s="30" t="s">
        <v>617</v>
      </c>
      <c r="AE66" s="30"/>
      <c r="AK66" s="39"/>
    </row>
    <row r="67" spans="12:37" x14ac:dyDescent="0.25">
      <c r="L67" s="30" t="str">
        <f>"CE"&amp;V67</f>
        <v>CE24000</v>
      </c>
      <c r="M67" s="30" t="str">
        <f>"PE"&amp;V67</f>
        <v>PE24000</v>
      </c>
      <c r="N67" s="30" t="s">
        <v>618</v>
      </c>
      <c r="O67" s="30" t="s">
        <v>619</v>
      </c>
      <c r="P67" s="30" t="s">
        <v>620</v>
      </c>
      <c r="Q67" s="30" t="s">
        <v>5</v>
      </c>
      <c r="R67" s="30" t="s">
        <v>621</v>
      </c>
      <c r="S67" s="30" t="s">
        <v>622</v>
      </c>
      <c r="T67" s="30" t="s">
        <v>623</v>
      </c>
      <c r="U67" s="30" t="s">
        <v>624</v>
      </c>
      <c r="V67">
        <v>24000</v>
      </c>
      <c r="W67">
        <v>162.5</v>
      </c>
      <c r="X67" s="30" t="s">
        <v>625</v>
      </c>
      <c r="Y67" s="30" t="s">
        <v>626</v>
      </c>
      <c r="Z67" s="30" t="s">
        <v>627</v>
      </c>
      <c r="AA67" s="30" t="s">
        <v>5</v>
      </c>
      <c r="AB67" s="30" t="s">
        <v>628</v>
      </c>
      <c r="AC67" s="30" t="s">
        <v>629</v>
      </c>
      <c r="AD67" s="30" t="s">
        <v>630</v>
      </c>
      <c r="AE67" s="30"/>
      <c r="AK67" s="39"/>
    </row>
    <row r="68" spans="12:37" x14ac:dyDescent="0.25">
      <c r="L68" s="30" t="str">
        <f>"CE"&amp;V68</f>
        <v>CE24100</v>
      </c>
      <c r="M68" s="30" t="str">
        <f>"PE"&amp;V68</f>
        <v>PE24100</v>
      </c>
      <c r="N68" s="30" t="s">
        <v>631</v>
      </c>
      <c r="O68" s="30" t="s">
        <v>632</v>
      </c>
      <c r="P68" s="30" t="s">
        <v>633</v>
      </c>
      <c r="Q68" s="30" t="s">
        <v>5</v>
      </c>
      <c r="R68" s="30" t="s">
        <v>634</v>
      </c>
      <c r="S68" s="30" t="s">
        <v>635</v>
      </c>
      <c r="T68" s="30" t="s">
        <v>634</v>
      </c>
      <c r="U68" s="30" t="s">
        <v>636</v>
      </c>
      <c r="V68">
        <v>24100</v>
      </c>
      <c r="W68">
        <v>232.5</v>
      </c>
      <c r="X68" s="30" t="s">
        <v>637</v>
      </c>
      <c r="Y68" s="30" t="s">
        <v>638</v>
      </c>
      <c r="Z68" s="30" t="s">
        <v>639</v>
      </c>
      <c r="AA68" s="30" t="s">
        <v>5</v>
      </c>
      <c r="AB68" s="30" t="s">
        <v>640</v>
      </c>
      <c r="AC68" s="30" t="s">
        <v>641</v>
      </c>
      <c r="AD68" s="30" t="s">
        <v>642</v>
      </c>
      <c r="AE68" s="30"/>
      <c r="AK68" s="39"/>
    </row>
    <row r="69" spans="12:37" x14ac:dyDescent="0.25">
      <c r="L69" s="30" t="str">
        <f>"CE"&amp;V69</f>
        <v>CE24200</v>
      </c>
      <c r="M69" s="30" t="str">
        <f>"PE"&amp;V69</f>
        <v>PE24200</v>
      </c>
      <c r="N69" s="30" t="s">
        <v>643</v>
      </c>
      <c r="O69" s="30" t="s">
        <v>644</v>
      </c>
      <c r="P69" s="30" t="s">
        <v>645</v>
      </c>
      <c r="Q69" s="30" t="s">
        <v>5</v>
      </c>
      <c r="R69" s="30" t="s">
        <v>646</v>
      </c>
      <c r="S69" s="30" t="s">
        <v>647</v>
      </c>
      <c r="T69" s="30" t="s">
        <v>646</v>
      </c>
      <c r="U69" s="30" t="s">
        <v>648</v>
      </c>
      <c r="V69">
        <v>24200</v>
      </c>
      <c r="W69">
        <v>315</v>
      </c>
      <c r="X69" s="30" t="s">
        <v>649</v>
      </c>
      <c r="Y69" s="30" t="s">
        <v>650</v>
      </c>
      <c r="Z69" s="30" t="s">
        <v>651</v>
      </c>
      <c r="AA69" s="30" t="s">
        <v>5</v>
      </c>
      <c r="AB69" s="30" t="s">
        <v>652</v>
      </c>
      <c r="AC69" s="30" t="s">
        <v>653</v>
      </c>
      <c r="AD69" s="30" t="s">
        <v>654</v>
      </c>
      <c r="AE69" s="30"/>
      <c r="AK69" s="39"/>
    </row>
    <row r="70" spans="12:37" x14ac:dyDescent="0.25">
      <c r="L70" s="30" t="str">
        <f>"CE"&amp;V70</f>
        <v>CE24300</v>
      </c>
      <c r="M70" s="30" t="str">
        <f>"PE"&amp;V70</f>
        <v>PE24300</v>
      </c>
      <c r="N70" s="30" t="s">
        <v>655</v>
      </c>
      <c r="O70" s="30" t="s">
        <v>656</v>
      </c>
      <c r="P70" s="30" t="s">
        <v>657</v>
      </c>
      <c r="Q70" s="30" t="s">
        <v>5</v>
      </c>
      <c r="R70" s="30" t="s">
        <v>658</v>
      </c>
      <c r="S70" s="30" t="s">
        <v>659</v>
      </c>
      <c r="T70" s="30" t="s">
        <v>660</v>
      </c>
      <c r="U70" s="30" t="s">
        <v>661</v>
      </c>
      <c r="V70">
        <v>24300</v>
      </c>
      <c r="W70">
        <v>403.9</v>
      </c>
      <c r="X70" s="30" t="s">
        <v>662</v>
      </c>
      <c r="Y70" s="30" t="s">
        <v>663</v>
      </c>
      <c r="Z70" s="30" t="s">
        <v>664</v>
      </c>
      <c r="AA70" s="30" t="s">
        <v>5</v>
      </c>
      <c r="AB70" s="30" t="s">
        <v>665</v>
      </c>
      <c r="AC70" s="30" t="s">
        <v>666</v>
      </c>
      <c r="AD70" s="30" t="s">
        <v>667</v>
      </c>
      <c r="AE70" s="30"/>
      <c r="AK70" s="39"/>
    </row>
    <row r="71" spans="12:37" x14ac:dyDescent="0.25">
      <c r="L71" s="30" t="str">
        <f>"CE"&amp;V71</f>
        <v>CE24400</v>
      </c>
      <c r="M71" s="30" t="str">
        <f>"PE"&amp;V71</f>
        <v>PE24400</v>
      </c>
      <c r="N71" s="30" t="s">
        <v>668</v>
      </c>
      <c r="O71" s="30" t="s">
        <v>669</v>
      </c>
      <c r="P71" s="30" t="s">
        <v>670</v>
      </c>
      <c r="Q71" s="30" t="s">
        <v>5</v>
      </c>
      <c r="R71" s="30" t="s">
        <v>671</v>
      </c>
      <c r="S71" s="30" t="s">
        <v>672</v>
      </c>
      <c r="T71" s="30" t="s">
        <v>673</v>
      </c>
      <c r="U71" s="30" t="s">
        <v>671</v>
      </c>
      <c r="V71">
        <v>24400</v>
      </c>
      <c r="W71">
        <v>499.25</v>
      </c>
      <c r="X71" s="30" t="s">
        <v>674</v>
      </c>
      <c r="Y71" s="30" t="s">
        <v>675</v>
      </c>
      <c r="Z71" s="30" t="s">
        <v>676</v>
      </c>
      <c r="AA71" s="30" t="s">
        <v>5</v>
      </c>
      <c r="AB71" s="30" t="s">
        <v>677</v>
      </c>
      <c r="AC71" s="30" t="s">
        <v>678</v>
      </c>
      <c r="AD71" s="30" t="s">
        <v>679</v>
      </c>
      <c r="AE71" s="30"/>
      <c r="AK71" s="39"/>
    </row>
    <row r="72" spans="12:37" x14ac:dyDescent="0.25">
      <c r="L72" s="30" t="str">
        <f>"CE"&amp;V72</f>
        <v>CE24500</v>
      </c>
      <c r="M72" s="30" t="str">
        <f>"PE"&amp;V72</f>
        <v>PE24500</v>
      </c>
      <c r="N72" s="30" t="s">
        <v>680</v>
      </c>
      <c r="O72" s="30" t="s">
        <v>681</v>
      </c>
      <c r="P72" s="30" t="s">
        <v>682</v>
      </c>
      <c r="Q72" s="30" t="s">
        <v>5</v>
      </c>
      <c r="R72" s="30" t="s">
        <v>683</v>
      </c>
      <c r="S72" s="30" t="s">
        <v>684</v>
      </c>
      <c r="T72" s="30" t="s">
        <v>683</v>
      </c>
      <c r="U72" s="30" t="s">
        <v>685</v>
      </c>
      <c r="V72">
        <v>24500</v>
      </c>
      <c r="W72">
        <v>592.35</v>
      </c>
      <c r="X72" s="30" t="s">
        <v>686</v>
      </c>
      <c r="Y72" s="30" t="s">
        <v>687</v>
      </c>
      <c r="Z72" s="30" t="s">
        <v>688</v>
      </c>
      <c r="AA72" s="30" t="s">
        <v>5</v>
      </c>
      <c r="AB72" s="30" t="s">
        <v>689</v>
      </c>
      <c r="AC72" s="30" t="s">
        <v>690</v>
      </c>
      <c r="AD72" s="30" t="s">
        <v>691</v>
      </c>
      <c r="AE72" s="30"/>
      <c r="AK72" s="39"/>
    </row>
    <row r="73" spans="12:37" x14ac:dyDescent="0.25">
      <c r="L73" s="30" t="str">
        <f>"CE"&amp;V73</f>
        <v>CE24600</v>
      </c>
      <c r="M73" s="30" t="str">
        <f>"PE"&amp;V73</f>
        <v>PE24600</v>
      </c>
      <c r="N73" s="30" t="s">
        <v>692</v>
      </c>
      <c r="O73" s="30" t="s">
        <v>693</v>
      </c>
      <c r="P73" s="30" t="s">
        <v>694</v>
      </c>
      <c r="Q73" s="30" t="s">
        <v>5</v>
      </c>
      <c r="R73" s="30" t="s">
        <v>695</v>
      </c>
      <c r="S73" s="30" t="s">
        <v>696</v>
      </c>
      <c r="T73" s="30" t="s">
        <v>695</v>
      </c>
      <c r="U73" s="30" t="s">
        <v>697</v>
      </c>
      <c r="V73">
        <v>24600</v>
      </c>
      <c r="W73">
        <v>691.75</v>
      </c>
      <c r="X73" s="30" t="s">
        <v>698</v>
      </c>
      <c r="Y73" s="30" t="s">
        <v>699</v>
      </c>
      <c r="Z73" s="30" t="s">
        <v>700</v>
      </c>
      <c r="AA73" s="30" t="s">
        <v>5</v>
      </c>
      <c r="AB73" s="30" t="s">
        <v>701</v>
      </c>
      <c r="AC73" s="30" t="s">
        <v>105</v>
      </c>
      <c r="AD73" s="30" t="s">
        <v>177</v>
      </c>
      <c r="AE73" s="30"/>
      <c r="AK73" s="39"/>
    </row>
    <row r="74" spans="12:37" x14ac:dyDescent="0.25">
      <c r="L74" s="30" t="str">
        <f>"CE"&amp;V74</f>
        <v>CE24700</v>
      </c>
      <c r="M74" s="30" t="str">
        <f>"PE"&amp;V74</f>
        <v>PE24700</v>
      </c>
      <c r="N74" s="30" t="s">
        <v>702</v>
      </c>
      <c r="O74" s="30" t="s">
        <v>703</v>
      </c>
      <c r="P74" s="30" t="s">
        <v>704</v>
      </c>
      <c r="Q74" s="30" t="s">
        <v>5</v>
      </c>
      <c r="R74" s="30" t="s">
        <v>705</v>
      </c>
      <c r="S74" s="30" t="s">
        <v>706</v>
      </c>
      <c r="T74" s="30" t="s">
        <v>705</v>
      </c>
      <c r="U74" s="30" t="s">
        <v>223</v>
      </c>
      <c r="V74">
        <v>24700</v>
      </c>
      <c r="W74">
        <v>789.7</v>
      </c>
      <c r="X74" s="30" t="s">
        <v>707</v>
      </c>
      <c r="Y74" s="30" t="s">
        <v>708</v>
      </c>
      <c r="Z74" s="30" t="s">
        <v>709</v>
      </c>
      <c r="AA74" s="30" t="s">
        <v>5</v>
      </c>
      <c r="AB74" s="30" t="s">
        <v>710</v>
      </c>
      <c r="AC74" s="30" t="s">
        <v>711</v>
      </c>
      <c r="AD74" s="30" t="s">
        <v>712</v>
      </c>
      <c r="AE74" s="30"/>
      <c r="AK74" s="39"/>
    </row>
    <row r="75" spans="12:37" x14ac:dyDescent="0.25">
      <c r="L75" s="30" t="str">
        <f>"CE"&amp;V75</f>
        <v>CE24800</v>
      </c>
      <c r="M75" s="30" t="str">
        <f>"PE"&amp;V75</f>
        <v>PE24800</v>
      </c>
      <c r="N75" s="30" t="s">
        <v>713</v>
      </c>
      <c r="O75" s="30" t="s">
        <v>714</v>
      </c>
      <c r="P75" s="30" t="s">
        <v>715</v>
      </c>
      <c r="Q75" s="30" t="s">
        <v>5</v>
      </c>
      <c r="R75" s="30" t="s">
        <v>716</v>
      </c>
      <c r="S75" s="30" t="s">
        <v>717</v>
      </c>
      <c r="T75" s="30" t="s">
        <v>718</v>
      </c>
      <c r="U75" s="30" t="s">
        <v>134</v>
      </c>
      <c r="V75">
        <v>24800</v>
      </c>
      <c r="W75">
        <v>887.7</v>
      </c>
      <c r="X75" s="30" t="s">
        <v>719</v>
      </c>
      <c r="Y75" s="30" t="s">
        <v>720</v>
      </c>
      <c r="Z75" s="30" t="s">
        <v>721</v>
      </c>
      <c r="AA75" s="30" t="s">
        <v>5</v>
      </c>
      <c r="AB75" s="30" t="s">
        <v>722</v>
      </c>
      <c r="AC75" s="30" t="s">
        <v>131</v>
      </c>
      <c r="AD75" s="30" t="s">
        <v>723</v>
      </c>
      <c r="AE75" s="30"/>
      <c r="AK75" s="39"/>
    </row>
    <row r="76" spans="12:37" x14ac:dyDescent="0.25">
      <c r="L76" s="30" t="str">
        <f>"CE"&amp;V76</f>
        <v>CE24900</v>
      </c>
      <c r="M76" s="30" t="str">
        <f>"PE"&amp;V76</f>
        <v>PE24900</v>
      </c>
      <c r="N76" s="30" t="s">
        <v>724</v>
      </c>
      <c r="O76" s="30" t="s">
        <v>725</v>
      </c>
      <c r="P76" s="30" t="s">
        <v>726</v>
      </c>
      <c r="Q76" s="30" t="s">
        <v>5</v>
      </c>
      <c r="R76" s="30" t="s">
        <v>727</v>
      </c>
      <c r="S76" s="30" t="s">
        <v>728</v>
      </c>
      <c r="T76" s="30" t="s">
        <v>727</v>
      </c>
      <c r="U76" s="30" t="s">
        <v>729</v>
      </c>
      <c r="V76">
        <v>24900</v>
      </c>
      <c r="W76">
        <v>987.2</v>
      </c>
      <c r="X76" s="30" t="s">
        <v>730</v>
      </c>
      <c r="Y76" s="30" t="s">
        <v>731</v>
      </c>
      <c r="Z76" s="30" t="s">
        <v>732</v>
      </c>
      <c r="AA76" s="30" t="s">
        <v>5</v>
      </c>
      <c r="AB76" s="30" t="s">
        <v>127</v>
      </c>
      <c r="AC76" s="30" t="s">
        <v>5</v>
      </c>
      <c r="AD76" s="30" t="s">
        <v>733</v>
      </c>
      <c r="AE76" s="30"/>
      <c r="AK76" s="39"/>
    </row>
    <row r="77" spans="12:37" x14ac:dyDescent="0.25">
      <c r="L77" s="30" t="str">
        <f>"CE"&amp;V77</f>
        <v>CE25000</v>
      </c>
      <c r="M77" s="30" t="str">
        <f>"PE"&amp;V77</f>
        <v>PE25000</v>
      </c>
      <c r="N77" s="30" t="s">
        <v>734</v>
      </c>
      <c r="O77" s="30" t="s">
        <v>735</v>
      </c>
      <c r="P77" s="30" t="s">
        <v>736</v>
      </c>
      <c r="Q77" s="30" t="s">
        <v>5</v>
      </c>
      <c r="R77" s="30" t="s">
        <v>221</v>
      </c>
      <c r="S77" s="30" t="s">
        <v>737</v>
      </c>
      <c r="T77" s="30" t="s">
        <v>222</v>
      </c>
      <c r="U77" s="30" t="s">
        <v>221</v>
      </c>
      <c r="V77">
        <v>25000</v>
      </c>
      <c r="W77">
        <v>1083.8499999999999</v>
      </c>
      <c r="X77" s="30" t="s">
        <v>738</v>
      </c>
      <c r="Y77" s="30" t="s">
        <v>739</v>
      </c>
      <c r="Z77" s="30" t="s">
        <v>740</v>
      </c>
      <c r="AA77" s="30" t="s">
        <v>5</v>
      </c>
      <c r="AB77" s="30" t="s">
        <v>741</v>
      </c>
      <c r="AC77" s="30" t="s">
        <v>400</v>
      </c>
      <c r="AD77" s="30" t="s">
        <v>742</v>
      </c>
      <c r="AE77" s="30"/>
      <c r="AK77" s="39"/>
    </row>
    <row r="78" spans="12:37" x14ac:dyDescent="0.25">
      <c r="L78" s="30" t="str">
        <f>"CE"&amp;V78</f>
        <v>CE25100</v>
      </c>
      <c r="M78" s="30" t="str">
        <f>"PE"&amp;V78</f>
        <v>PE25100</v>
      </c>
      <c r="N78" s="30" t="s">
        <v>743</v>
      </c>
      <c r="O78" s="30" t="s">
        <v>744</v>
      </c>
      <c r="P78" s="30" t="s">
        <v>745</v>
      </c>
      <c r="Q78" s="30" t="s">
        <v>5</v>
      </c>
      <c r="R78" s="30" t="s">
        <v>227</v>
      </c>
      <c r="S78" s="30" t="s">
        <v>746</v>
      </c>
      <c r="T78" s="30" t="s">
        <v>227</v>
      </c>
      <c r="U78" s="30" t="s">
        <v>226</v>
      </c>
      <c r="V78">
        <v>25100</v>
      </c>
      <c r="W78">
        <v>1185.75</v>
      </c>
      <c r="X78" s="30" t="s">
        <v>747</v>
      </c>
      <c r="Y78" s="30" t="s">
        <v>748</v>
      </c>
      <c r="Z78" s="30" t="s">
        <v>749</v>
      </c>
      <c r="AA78" s="30" t="s">
        <v>5</v>
      </c>
      <c r="AB78" s="30" t="s">
        <v>750</v>
      </c>
      <c r="AC78" s="30" t="s">
        <v>141</v>
      </c>
      <c r="AD78" s="30" t="s">
        <v>119</v>
      </c>
      <c r="AE78" s="30"/>
      <c r="AK78" s="39"/>
    </row>
    <row r="79" spans="12:37" x14ac:dyDescent="0.25">
      <c r="L79" s="30" t="str">
        <f>"CE"&amp;V79</f>
        <v>CE25200</v>
      </c>
      <c r="M79" s="30" t="str">
        <f>"PE"&amp;V79</f>
        <v>PE25200</v>
      </c>
      <c r="N79" s="30" t="s">
        <v>751</v>
      </c>
      <c r="O79" s="30" t="s">
        <v>752</v>
      </c>
      <c r="P79" s="30" t="s">
        <v>753</v>
      </c>
      <c r="Q79" s="30" t="s">
        <v>5</v>
      </c>
      <c r="R79" s="30" t="s">
        <v>228</v>
      </c>
      <c r="S79" s="30" t="s">
        <v>754</v>
      </c>
      <c r="T79" s="30" t="s">
        <v>149</v>
      </c>
      <c r="U79" s="30" t="s">
        <v>228</v>
      </c>
      <c r="V79">
        <v>25200</v>
      </c>
      <c r="W79">
        <v>1278.45</v>
      </c>
      <c r="X79" s="30" t="s">
        <v>755</v>
      </c>
      <c r="Y79" s="30" t="s">
        <v>5</v>
      </c>
      <c r="Z79" s="30" t="s">
        <v>5</v>
      </c>
      <c r="AA79" s="30" t="s">
        <v>5</v>
      </c>
      <c r="AB79" s="30" t="s">
        <v>5</v>
      </c>
      <c r="AC79" s="30" t="s">
        <v>5</v>
      </c>
      <c r="AD79" s="30" t="s">
        <v>124</v>
      </c>
      <c r="AE79" s="30"/>
      <c r="AK79" s="39"/>
    </row>
    <row r="80" spans="12:37" x14ac:dyDescent="0.25">
      <c r="L80" s="30" t="str">
        <f>"CE"&amp;V80</f>
        <v>CE25300</v>
      </c>
      <c r="M80" s="30" t="str">
        <f>"PE"&amp;V80</f>
        <v>PE25300</v>
      </c>
      <c r="N80" s="30" t="s">
        <v>756</v>
      </c>
      <c r="O80" s="30" t="s">
        <v>757</v>
      </c>
      <c r="P80" s="30" t="s">
        <v>758</v>
      </c>
      <c r="Q80" s="30" t="s">
        <v>5</v>
      </c>
      <c r="R80" s="30" t="s">
        <v>213</v>
      </c>
      <c r="S80" s="30" t="s">
        <v>759</v>
      </c>
      <c r="T80" s="30" t="s">
        <v>158</v>
      </c>
      <c r="U80" s="30" t="s">
        <v>156</v>
      </c>
      <c r="V80">
        <v>25300</v>
      </c>
      <c r="W80">
        <v>1382.6</v>
      </c>
      <c r="X80" s="30" t="s">
        <v>760</v>
      </c>
      <c r="Y80" s="30" t="s">
        <v>5</v>
      </c>
      <c r="Z80" s="30" t="s">
        <v>5</v>
      </c>
      <c r="AA80" s="30" t="s">
        <v>5</v>
      </c>
      <c r="AB80" s="30" t="s">
        <v>5</v>
      </c>
      <c r="AC80" s="30" t="s">
        <v>5</v>
      </c>
      <c r="AD80" s="30" t="s">
        <v>229</v>
      </c>
      <c r="AE80" s="30"/>
      <c r="AK80" s="39"/>
    </row>
    <row r="81" spans="12:37" x14ac:dyDescent="0.25">
      <c r="L81" s="30" t="str">
        <f>"CE"&amp;V81</f>
        <v>CE25400</v>
      </c>
      <c r="M81" s="30" t="str">
        <f>"PE"&amp;V81</f>
        <v>PE25400</v>
      </c>
      <c r="N81" s="30" t="s">
        <v>761</v>
      </c>
      <c r="O81" s="30" t="s">
        <v>762</v>
      </c>
      <c r="P81" s="30" t="s">
        <v>763</v>
      </c>
      <c r="Q81" s="30" t="s">
        <v>5</v>
      </c>
      <c r="R81" s="30" t="s">
        <v>207</v>
      </c>
      <c r="S81" s="30" t="s">
        <v>764</v>
      </c>
      <c r="T81" s="30" t="s">
        <v>207</v>
      </c>
      <c r="U81" s="30" t="s">
        <v>212</v>
      </c>
      <c r="V81">
        <v>25400</v>
      </c>
      <c r="W81">
        <v>1436.75</v>
      </c>
      <c r="X81" s="30" t="s">
        <v>765</v>
      </c>
      <c r="Y81" s="30" t="s">
        <v>5</v>
      </c>
      <c r="Z81" s="30" t="s">
        <v>5</v>
      </c>
      <c r="AA81" s="30" t="s">
        <v>5</v>
      </c>
      <c r="AB81" s="30" t="s">
        <v>5</v>
      </c>
      <c r="AC81" s="30" t="s">
        <v>5</v>
      </c>
      <c r="AD81" s="30" t="s">
        <v>230</v>
      </c>
      <c r="AE81" s="30"/>
      <c r="AK81" s="39"/>
    </row>
    <row r="82" spans="12:37" x14ac:dyDescent="0.25">
      <c r="L82" s="30" t="str">
        <f>"CE"&amp;V82</f>
        <v>CE25500</v>
      </c>
      <c r="M82" s="30" t="str">
        <f>"PE"&amp;V82</f>
        <v>PE25500</v>
      </c>
      <c r="N82" s="30" t="s">
        <v>766</v>
      </c>
      <c r="O82" s="30" t="s">
        <v>767</v>
      </c>
      <c r="P82" s="30" t="s">
        <v>768</v>
      </c>
      <c r="Q82" s="30" t="s">
        <v>5</v>
      </c>
      <c r="R82" s="30" t="s">
        <v>112</v>
      </c>
      <c r="S82" s="30" t="s">
        <v>769</v>
      </c>
      <c r="T82" s="30" t="s">
        <v>112</v>
      </c>
      <c r="U82" s="30" t="s">
        <v>114</v>
      </c>
      <c r="V82">
        <v>25500</v>
      </c>
      <c r="W82">
        <v>1557</v>
      </c>
      <c r="X82" s="30" t="s">
        <v>770</v>
      </c>
      <c r="Y82" s="30" t="s">
        <v>231</v>
      </c>
      <c r="Z82" s="30" t="s">
        <v>232</v>
      </c>
      <c r="AA82" s="30" t="s">
        <v>5</v>
      </c>
      <c r="AB82" s="30" t="s">
        <v>191</v>
      </c>
      <c r="AC82" s="30" t="s">
        <v>5</v>
      </c>
      <c r="AD82" s="30" t="s">
        <v>107</v>
      </c>
      <c r="AE82" s="30"/>
      <c r="AK82" s="39"/>
    </row>
    <row r="83" spans="12:37" x14ac:dyDescent="0.25">
      <c r="L83" s="30" t="str">
        <f>"CE"&amp;V83</f>
        <v>CE25600</v>
      </c>
      <c r="M83" s="30" t="str">
        <f>"PE"&amp;V83</f>
        <v>PE25600</v>
      </c>
      <c r="N83" s="30" t="s">
        <v>771</v>
      </c>
      <c r="O83" s="30" t="s">
        <v>772</v>
      </c>
      <c r="P83" s="30" t="s">
        <v>773</v>
      </c>
      <c r="Q83" s="30" t="s">
        <v>5</v>
      </c>
      <c r="R83" s="30" t="s">
        <v>82</v>
      </c>
      <c r="S83" s="30" t="s">
        <v>774</v>
      </c>
      <c r="T83" s="30" t="s">
        <v>82</v>
      </c>
      <c r="U83" s="30" t="s">
        <v>79</v>
      </c>
      <c r="V83">
        <v>25600</v>
      </c>
      <c r="W83">
        <v>1663.3</v>
      </c>
      <c r="X83" s="30" t="s">
        <v>775</v>
      </c>
      <c r="Y83" s="30" t="s">
        <v>5</v>
      </c>
      <c r="Z83" s="30" t="s">
        <v>5</v>
      </c>
      <c r="AA83" s="30" t="s">
        <v>5</v>
      </c>
      <c r="AB83" s="30" t="s">
        <v>5</v>
      </c>
      <c r="AC83" s="30" t="s">
        <v>5</v>
      </c>
      <c r="AD83" s="30" t="s">
        <v>164</v>
      </c>
      <c r="AE83" s="30"/>
      <c r="AK83" s="39"/>
    </row>
    <row r="84" spans="12:37" x14ac:dyDescent="0.25">
      <c r="L84" s="30" t="str">
        <f>"CE"&amp;V84</f>
        <v>CE25700</v>
      </c>
      <c r="M84" s="30" t="str">
        <f>"PE"&amp;V84</f>
        <v>PE25700</v>
      </c>
      <c r="N84" s="30" t="s">
        <v>776</v>
      </c>
      <c r="O84" s="30" t="s">
        <v>777</v>
      </c>
      <c r="P84" s="30" t="s">
        <v>778</v>
      </c>
      <c r="Q84" s="30" t="s">
        <v>5</v>
      </c>
      <c r="R84" s="30" t="s">
        <v>82</v>
      </c>
      <c r="S84" s="30" t="s">
        <v>779</v>
      </c>
      <c r="T84" s="30" t="s">
        <v>78</v>
      </c>
      <c r="U84" s="30" t="s">
        <v>79</v>
      </c>
      <c r="V84">
        <v>25700</v>
      </c>
      <c r="W84">
        <v>1761.85</v>
      </c>
      <c r="X84" s="30" t="s">
        <v>780</v>
      </c>
      <c r="Y84" s="30" t="s">
        <v>5</v>
      </c>
      <c r="Z84" s="30" t="s">
        <v>5</v>
      </c>
      <c r="AA84" s="30" t="s">
        <v>5</v>
      </c>
      <c r="AB84" s="30" t="s">
        <v>5</v>
      </c>
      <c r="AC84" s="30" t="s">
        <v>5</v>
      </c>
      <c r="AD84" s="30" t="s">
        <v>76</v>
      </c>
      <c r="AE84" s="30"/>
      <c r="AK84" s="39"/>
    </row>
    <row r="85" spans="12:37" x14ac:dyDescent="0.25">
      <c r="L85" s="30" t="str">
        <f>"CE"&amp;V85</f>
        <v>CE25800</v>
      </c>
      <c r="M85" s="30" t="str">
        <f>"PE"&amp;V85</f>
        <v>PE25800</v>
      </c>
      <c r="N85" s="30" t="s">
        <v>781</v>
      </c>
      <c r="O85" s="30" t="s">
        <v>782</v>
      </c>
      <c r="P85" s="30" t="s">
        <v>783</v>
      </c>
      <c r="Q85" s="30" t="s">
        <v>5</v>
      </c>
      <c r="R85" s="30" t="s">
        <v>81</v>
      </c>
      <c r="S85" s="30" t="s">
        <v>784</v>
      </c>
      <c r="T85" s="30" t="s">
        <v>81</v>
      </c>
      <c r="U85" s="30" t="s">
        <v>78</v>
      </c>
      <c r="V85">
        <v>25800</v>
      </c>
      <c r="W85">
        <v>1819.1</v>
      </c>
      <c r="X85" s="30" t="s">
        <v>785</v>
      </c>
      <c r="Y85" s="30" t="s">
        <v>5</v>
      </c>
      <c r="Z85" s="30" t="s">
        <v>5</v>
      </c>
      <c r="AA85" s="30" t="s">
        <v>5</v>
      </c>
      <c r="AB85" s="30" t="s">
        <v>5</v>
      </c>
      <c r="AC85" s="30" t="s">
        <v>5</v>
      </c>
      <c r="AD85" s="30" t="s">
        <v>70</v>
      </c>
      <c r="AE85" s="30"/>
    </row>
    <row r="86" spans="12:37" x14ac:dyDescent="0.25">
      <c r="L86" s="30" t="str">
        <f>"CE"&amp;V86</f>
        <v>CE25900</v>
      </c>
      <c r="M86" s="30" t="str">
        <f>"PE"&amp;V86</f>
        <v>PE25900</v>
      </c>
      <c r="N86" s="30" t="s">
        <v>786</v>
      </c>
      <c r="O86" s="30" t="s">
        <v>787</v>
      </c>
      <c r="P86" s="30" t="s">
        <v>788</v>
      </c>
      <c r="Q86" s="30" t="s">
        <v>5</v>
      </c>
      <c r="R86" s="30" t="s">
        <v>83</v>
      </c>
      <c r="S86" s="30" t="s">
        <v>234</v>
      </c>
      <c r="T86" s="30" t="s">
        <v>86</v>
      </c>
      <c r="U86" s="30" t="s">
        <v>84</v>
      </c>
      <c r="V86">
        <v>25900</v>
      </c>
      <c r="W86">
        <v>1908.75</v>
      </c>
      <c r="X86" s="30" t="s">
        <v>789</v>
      </c>
      <c r="Y86" s="30" t="s">
        <v>5</v>
      </c>
      <c r="Z86" s="30" t="s">
        <v>5</v>
      </c>
      <c r="AA86" s="30" t="s">
        <v>5</v>
      </c>
      <c r="AB86" s="30" t="s">
        <v>5</v>
      </c>
      <c r="AC86" s="30" t="s">
        <v>5</v>
      </c>
      <c r="AD86" s="30" t="s">
        <v>70</v>
      </c>
      <c r="AE86" s="30"/>
    </row>
    <row r="87" spans="12:37" x14ac:dyDescent="0.25">
      <c r="L87" s="30" t="str">
        <f>"CE"&amp;V87</f>
        <v>CE26000</v>
      </c>
      <c r="M87" s="30" t="str">
        <f>"PE"&amp;V87</f>
        <v>PE26000</v>
      </c>
      <c r="N87" s="30" t="s">
        <v>790</v>
      </c>
      <c r="O87" s="30" t="s">
        <v>791</v>
      </c>
      <c r="P87" s="30" t="s">
        <v>792</v>
      </c>
      <c r="Q87" s="30" t="s">
        <v>5</v>
      </c>
      <c r="R87" s="30" t="s">
        <v>86</v>
      </c>
      <c r="S87" s="30" t="s">
        <v>135</v>
      </c>
      <c r="T87" s="30" t="s">
        <v>88</v>
      </c>
      <c r="U87" s="30" t="s">
        <v>86</v>
      </c>
      <c r="V87">
        <v>26000</v>
      </c>
      <c r="W87">
        <v>2007.7</v>
      </c>
      <c r="X87" s="30" t="s">
        <v>793</v>
      </c>
      <c r="Y87" s="30" t="s">
        <v>794</v>
      </c>
      <c r="Z87" s="30" t="s">
        <v>795</v>
      </c>
      <c r="AA87" s="30" t="s">
        <v>5</v>
      </c>
      <c r="AB87" s="30" t="s">
        <v>72</v>
      </c>
      <c r="AC87" s="30" t="s">
        <v>5</v>
      </c>
      <c r="AD87" s="30" t="s">
        <v>236</v>
      </c>
      <c r="AE87" s="30"/>
    </row>
    <row r="88" spans="12:37" x14ac:dyDescent="0.25">
      <c r="L88" s="30" t="str">
        <f>"CE"&amp;V88</f>
        <v>CE26100</v>
      </c>
      <c r="M88" s="30" t="str">
        <f>"PE"&amp;V88</f>
        <v>PE26100</v>
      </c>
      <c r="N88" s="30" t="s">
        <v>237</v>
      </c>
      <c r="O88" s="30" t="s">
        <v>238</v>
      </c>
      <c r="P88" s="30" t="s">
        <v>796</v>
      </c>
      <c r="Q88" s="30" t="s">
        <v>5</v>
      </c>
      <c r="R88" s="30" t="s">
        <v>88</v>
      </c>
      <c r="S88" s="30" t="s">
        <v>797</v>
      </c>
      <c r="T88" s="30" t="s">
        <v>88</v>
      </c>
      <c r="U88" s="30" t="s">
        <v>81</v>
      </c>
      <c r="V88">
        <v>26100</v>
      </c>
      <c r="W88">
        <v>2106.6</v>
      </c>
      <c r="X88" s="30" t="s">
        <v>798</v>
      </c>
      <c r="Y88" s="30" t="s">
        <v>5</v>
      </c>
      <c r="Z88" s="30" t="s">
        <v>5</v>
      </c>
      <c r="AA88" s="30" t="s">
        <v>5</v>
      </c>
      <c r="AB88" s="30" t="s">
        <v>5</v>
      </c>
      <c r="AC88" s="30" t="s">
        <v>5</v>
      </c>
      <c r="AD88" s="30" t="s">
        <v>75</v>
      </c>
      <c r="AE88" s="30"/>
    </row>
    <row r="89" spans="12:37" x14ac:dyDescent="0.25">
      <c r="L89" s="30" t="str">
        <f>"CE"&amp;V89</f>
        <v>CE26200</v>
      </c>
      <c r="M89" s="30" t="str">
        <f>"PE"&amp;V89</f>
        <v>PE26200</v>
      </c>
      <c r="N89" s="30" t="s">
        <v>799</v>
      </c>
      <c r="O89" s="30" t="s">
        <v>124</v>
      </c>
      <c r="P89" s="30" t="s">
        <v>800</v>
      </c>
      <c r="Q89" s="30" t="s">
        <v>5</v>
      </c>
      <c r="R89" s="30" t="s">
        <v>86</v>
      </c>
      <c r="S89" s="30" t="s">
        <v>801</v>
      </c>
      <c r="T89" s="30" t="s">
        <v>85</v>
      </c>
      <c r="U89" s="30" t="s">
        <v>84</v>
      </c>
      <c r="V89">
        <v>26200</v>
      </c>
      <c r="W89">
        <v>2206.6</v>
      </c>
      <c r="X89" s="30" t="s">
        <v>802</v>
      </c>
      <c r="Y89" s="30" t="s">
        <v>5</v>
      </c>
      <c r="Z89" s="30" t="s">
        <v>5</v>
      </c>
      <c r="AA89" s="30" t="s">
        <v>5</v>
      </c>
      <c r="AB89" s="30" t="s">
        <v>5</v>
      </c>
      <c r="AC89" s="30" t="s">
        <v>5</v>
      </c>
      <c r="AD89" s="30" t="s">
        <v>75</v>
      </c>
      <c r="AE89" s="30"/>
    </row>
    <row r="90" spans="12:37" x14ac:dyDescent="0.25">
      <c r="L90" s="30" t="str">
        <f>"CE"&amp;V90</f>
        <v>CE26300</v>
      </c>
      <c r="M90" s="30" t="str">
        <f>"PE"&amp;V90</f>
        <v>PE26300</v>
      </c>
      <c r="N90" s="30" t="s">
        <v>803</v>
      </c>
      <c r="O90" s="30" t="s">
        <v>215</v>
      </c>
      <c r="P90" s="30" t="s">
        <v>804</v>
      </c>
      <c r="Q90" s="30" t="s">
        <v>5</v>
      </c>
      <c r="R90" s="30" t="s">
        <v>94</v>
      </c>
      <c r="S90" s="30" t="s">
        <v>183</v>
      </c>
      <c r="T90" s="30" t="s">
        <v>94</v>
      </c>
      <c r="U90" s="30" t="s">
        <v>88</v>
      </c>
      <c r="V90">
        <v>26300</v>
      </c>
      <c r="W90">
        <v>2306.75</v>
      </c>
      <c r="X90" s="30" t="s">
        <v>805</v>
      </c>
      <c r="Y90" s="30" t="s">
        <v>5</v>
      </c>
      <c r="Z90" s="30" t="s">
        <v>5</v>
      </c>
      <c r="AA90" s="30" t="s">
        <v>5</v>
      </c>
      <c r="AB90" s="30" t="s">
        <v>5</v>
      </c>
      <c r="AC90" s="30" t="s">
        <v>5</v>
      </c>
      <c r="AD90" s="30" t="s">
        <v>75</v>
      </c>
      <c r="AE90" s="30"/>
    </row>
    <row r="91" spans="12:37" x14ac:dyDescent="0.25">
      <c r="L91" s="30" t="str">
        <f>"CE"&amp;V91</f>
        <v>CE26400</v>
      </c>
      <c r="M91" s="30" t="str">
        <f>"PE"&amp;V91</f>
        <v>PE26400</v>
      </c>
      <c r="N91" s="30" t="s">
        <v>239</v>
      </c>
      <c r="O91" s="30" t="s">
        <v>240</v>
      </c>
      <c r="P91" s="30" t="s">
        <v>806</v>
      </c>
      <c r="Q91" s="30" t="s">
        <v>5</v>
      </c>
      <c r="R91" s="30" t="s">
        <v>83</v>
      </c>
      <c r="S91" s="30" t="s">
        <v>136</v>
      </c>
      <c r="T91" s="30" t="s">
        <v>94</v>
      </c>
      <c r="U91" s="30" t="s">
        <v>86</v>
      </c>
      <c r="V91">
        <v>26400</v>
      </c>
      <c r="W91">
        <v>2407.75</v>
      </c>
      <c r="X91" s="30" t="s">
        <v>807</v>
      </c>
      <c r="Y91" s="30" t="s">
        <v>5</v>
      </c>
      <c r="Z91" s="30" t="s">
        <v>5</v>
      </c>
      <c r="AA91" s="30" t="s">
        <v>5</v>
      </c>
      <c r="AB91" s="30" t="s">
        <v>5</v>
      </c>
      <c r="AC91" s="30" t="s">
        <v>5</v>
      </c>
      <c r="AD91" s="30" t="s">
        <v>75</v>
      </c>
      <c r="AE91" s="30"/>
    </row>
    <row r="92" spans="12:37" x14ac:dyDescent="0.25">
      <c r="L92" s="30" t="str">
        <f>"CE"&amp;V92</f>
        <v>CE26500</v>
      </c>
      <c r="M92" s="30" t="str">
        <f>"PE"&amp;V92</f>
        <v>PE26500</v>
      </c>
      <c r="N92" s="30" t="s">
        <v>808</v>
      </c>
      <c r="O92" s="30" t="s">
        <v>809</v>
      </c>
      <c r="P92" s="30" t="s">
        <v>810</v>
      </c>
      <c r="Q92" s="30" t="s">
        <v>5</v>
      </c>
      <c r="R92" s="30" t="s">
        <v>94</v>
      </c>
      <c r="S92" s="30" t="s">
        <v>182</v>
      </c>
      <c r="T92" s="30" t="s">
        <v>94</v>
      </c>
      <c r="U92" s="30" t="s">
        <v>85</v>
      </c>
      <c r="V92">
        <v>26500</v>
      </c>
      <c r="W92">
        <v>2577.75</v>
      </c>
      <c r="X92" s="30" t="s">
        <v>811</v>
      </c>
      <c r="Y92" s="30" t="s">
        <v>5</v>
      </c>
      <c r="Z92" s="30" t="s">
        <v>5</v>
      </c>
      <c r="AA92" s="30" t="s">
        <v>5</v>
      </c>
      <c r="AB92" s="30" t="s">
        <v>5</v>
      </c>
      <c r="AC92" s="30" t="s">
        <v>5</v>
      </c>
      <c r="AD92" s="30" t="s">
        <v>241</v>
      </c>
      <c r="AE92" s="30"/>
    </row>
    <row r="93" spans="12:37" x14ac:dyDescent="0.25">
      <c r="L93" s="30" t="str">
        <f>"CE"&amp;V93</f>
        <v>CE26600</v>
      </c>
      <c r="M93" s="30" t="str">
        <f>"PE"&amp;V93</f>
        <v>PE26600</v>
      </c>
      <c r="N93" s="30" t="s">
        <v>812</v>
      </c>
      <c r="O93" s="30" t="s">
        <v>813</v>
      </c>
      <c r="P93" s="30" t="s">
        <v>152</v>
      </c>
      <c r="Q93" s="30" t="s">
        <v>5</v>
      </c>
      <c r="R93" s="30" t="s">
        <v>83</v>
      </c>
      <c r="S93" s="30" t="s">
        <v>98</v>
      </c>
      <c r="T93" s="30" t="s">
        <v>87</v>
      </c>
      <c r="U93" s="30" t="s">
        <v>83</v>
      </c>
      <c r="V93">
        <v>26600</v>
      </c>
      <c r="W93">
        <v>2607.3000000000002</v>
      </c>
      <c r="X93" s="30" t="s">
        <v>814</v>
      </c>
      <c r="Y93" s="30" t="s">
        <v>5</v>
      </c>
      <c r="Z93" s="30" t="s">
        <v>5</v>
      </c>
      <c r="AA93" s="30" t="s">
        <v>5</v>
      </c>
      <c r="AB93" s="30" t="s">
        <v>5</v>
      </c>
      <c r="AC93" s="30" t="s">
        <v>5</v>
      </c>
      <c r="AD93" s="30" t="s">
        <v>75</v>
      </c>
      <c r="AE93" s="30"/>
    </row>
    <row r="94" spans="12:37" x14ac:dyDescent="0.25">
      <c r="L94" s="30" t="str">
        <f>"CE"&amp;V94</f>
        <v>CE26700</v>
      </c>
      <c r="M94" s="30" t="str">
        <f>"PE"&amp;V94</f>
        <v>PE26700</v>
      </c>
      <c r="N94" s="30" t="s">
        <v>815</v>
      </c>
      <c r="O94" s="30" t="s">
        <v>97</v>
      </c>
      <c r="P94" s="30" t="s">
        <v>816</v>
      </c>
      <c r="Q94" s="30" t="s">
        <v>5</v>
      </c>
      <c r="R94" s="30" t="s">
        <v>87</v>
      </c>
      <c r="S94" s="30" t="s">
        <v>176</v>
      </c>
      <c r="T94" s="30" t="s">
        <v>93</v>
      </c>
      <c r="U94" s="30" t="s">
        <v>88</v>
      </c>
      <c r="V94">
        <v>26700</v>
      </c>
      <c r="W94">
        <v>2663</v>
      </c>
      <c r="X94" s="30" t="s">
        <v>242</v>
      </c>
      <c r="Y94" s="30" t="s">
        <v>5</v>
      </c>
      <c r="Z94" s="30" t="s">
        <v>5</v>
      </c>
      <c r="AA94" s="30" t="s">
        <v>5</v>
      </c>
      <c r="AB94" s="30" t="s">
        <v>5</v>
      </c>
      <c r="AC94" s="30" t="s">
        <v>5</v>
      </c>
      <c r="AD94" s="30" t="s">
        <v>70</v>
      </c>
      <c r="AE94" s="30"/>
    </row>
    <row r="95" spans="12:37" x14ac:dyDescent="0.25">
      <c r="L95" s="30" t="str">
        <f>"CE"&amp;V95</f>
        <v>CE26800</v>
      </c>
      <c r="M95" s="30" t="str">
        <f>"PE"&amp;V95</f>
        <v>PE26800</v>
      </c>
      <c r="N95" s="30" t="s">
        <v>128</v>
      </c>
      <c r="O95" s="30" t="s">
        <v>73</v>
      </c>
      <c r="P95" s="30" t="s">
        <v>817</v>
      </c>
      <c r="Q95" s="30" t="s">
        <v>5</v>
      </c>
      <c r="R95" s="30" t="s">
        <v>83</v>
      </c>
      <c r="S95" s="30" t="s">
        <v>98</v>
      </c>
      <c r="T95" s="30" t="s">
        <v>93</v>
      </c>
      <c r="U95" s="30" t="s">
        <v>84</v>
      </c>
      <c r="V95">
        <v>26800</v>
      </c>
      <c r="W95">
        <v>2762.2</v>
      </c>
      <c r="X95" s="30" t="s">
        <v>243</v>
      </c>
      <c r="Y95" s="30" t="s">
        <v>5</v>
      </c>
      <c r="Z95" s="30" t="s">
        <v>5</v>
      </c>
      <c r="AA95" s="30" t="s">
        <v>5</v>
      </c>
      <c r="AB95" s="30" t="s">
        <v>5</v>
      </c>
      <c r="AC95" s="30" t="s">
        <v>5</v>
      </c>
      <c r="AD95" s="30" t="s">
        <v>75</v>
      </c>
      <c r="AE95" s="30"/>
    </row>
    <row r="96" spans="12:37" x14ac:dyDescent="0.25">
      <c r="L96" s="30" t="str">
        <f>"CE"&amp;V96</f>
        <v>CE26900</v>
      </c>
      <c r="M96" s="30" t="str">
        <f>"PE"&amp;V96</f>
        <v>PE26900</v>
      </c>
      <c r="N96" s="30" t="s">
        <v>818</v>
      </c>
      <c r="O96" s="30" t="s">
        <v>130</v>
      </c>
      <c r="P96" s="30" t="s">
        <v>819</v>
      </c>
      <c r="Q96" s="30" t="s">
        <v>5</v>
      </c>
      <c r="R96" s="30" t="s">
        <v>94</v>
      </c>
      <c r="S96" s="30" t="s">
        <v>90</v>
      </c>
      <c r="T96" s="30" t="s">
        <v>93</v>
      </c>
      <c r="U96" s="30" t="s">
        <v>83</v>
      </c>
      <c r="V96">
        <v>26900</v>
      </c>
      <c r="W96">
        <v>2861.2</v>
      </c>
      <c r="X96" s="30" t="s">
        <v>244</v>
      </c>
      <c r="Y96" s="30" t="s">
        <v>5</v>
      </c>
      <c r="Z96" s="30" t="s">
        <v>5</v>
      </c>
      <c r="AA96" s="30" t="s">
        <v>5</v>
      </c>
      <c r="AB96" s="30" t="s">
        <v>5</v>
      </c>
      <c r="AC96" s="30" t="s">
        <v>5</v>
      </c>
      <c r="AD96" s="30" t="s">
        <v>75</v>
      </c>
      <c r="AE96" s="30"/>
    </row>
    <row r="97" spans="12:31" x14ac:dyDescent="0.25">
      <c r="L97" s="30" t="str">
        <f>"CE"&amp;V97</f>
        <v>CE27000</v>
      </c>
      <c r="M97" s="30" t="str">
        <f>"PE"&amp;V97</f>
        <v>PE27000</v>
      </c>
      <c r="N97" s="30" t="s">
        <v>820</v>
      </c>
      <c r="O97" s="30" t="s">
        <v>821</v>
      </c>
      <c r="P97" s="30" t="s">
        <v>822</v>
      </c>
      <c r="Q97" s="30" t="s">
        <v>5</v>
      </c>
      <c r="R97" s="30" t="s">
        <v>87</v>
      </c>
      <c r="S97" s="30" t="s">
        <v>245</v>
      </c>
      <c r="T97" s="30" t="s">
        <v>87</v>
      </c>
      <c r="U97" s="30" t="s">
        <v>94</v>
      </c>
      <c r="V97">
        <v>27000</v>
      </c>
      <c r="W97">
        <v>3036.5</v>
      </c>
      <c r="X97" s="30" t="s">
        <v>823</v>
      </c>
      <c r="Y97" s="30" t="s">
        <v>5</v>
      </c>
      <c r="Z97" s="30" t="s">
        <v>5</v>
      </c>
      <c r="AA97" s="30" t="s">
        <v>5</v>
      </c>
      <c r="AB97" s="30" t="s">
        <v>5</v>
      </c>
      <c r="AC97" s="30" t="s">
        <v>5</v>
      </c>
      <c r="AD97" s="30" t="s">
        <v>246</v>
      </c>
      <c r="AE97" s="30"/>
    </row>
    <row r="98" spans="12:31" x14ac:dyDescent="0.25">
      <c r="L98" s="30" t="str">
        <f>"CE"&amp;V98</f>
        <v>CE27100</v>
      </c>
      <c r="M98" s="30" t="str">
        <f>"PE"&amp;V98</f>
        <v>PE27100</v>
      </c>
      <c r="N98" s="30" t="s">
        <v>824</v>
      </c>
      <c r="O98" s="30" t="s">
        <v>178</v>
      </c>
      <c r="P98" s="30" t="s">
        <v>825</v>
      </c>
      <c r="Q98" s="30" t="s">
        <v>5</v>
      </c>
      <c r="R98" s="30" t="s">
        <v>93</v>
      </c>
      <c r="S98" s="30" t="s">
        <v>116</v>
      </c>
      <c r="T98" s="30" t="s">
        <v>93</v>
      </c>
      <c r="U98" s="30" t="s">
        <v>86</v>
      </c>
      <c r="V98">
        <v>27100</v>
      </c>
      <c r="W98">
        <v>3014.45</v>
      </c>
      <c r="X98" s="30" t="s">
        <v>826</v>
      </c>
      <c r="Y98" s="30" t="s">
        <v>5</v>
      </c>
      <c r="Z98" s="30" t="s">
        <v>5</v>
      </c>
      <c r="AA98" s="30" t="s">
        <v>5</v>
      </c>
      <c r="AB98" s="30" t="s">
        <v>5</v>
      </c>
      <c r="AC98" s="30" t="s">
        <v>5</v>
      </c>
      <c r="AD98" s="30" t="s">
        <v>75</v>
      </c>
      <c r="AE98" s="30"/>
    </row>
    <row r="99" spans="12:31" x14ac:dyDescent="0.25">
      <c r="L99" s="30" t="str">
        <f>"CE"&amp;V99</f>
        <v>CE27200</v>
      </c>
      <c r="M99" s="30" t="str">
        <f>"PE"&amp;V99</f>
        <v>PE27200</v>
      </c>
      <c r="N99" s="30" t="s">
        <v>70</v>
      </c>
      <c r="O99" s="30" t="s">
        <v>70</v>
      </c>
      <c r="P99" s="30" t="s">
        <v>71</v>
      </c>
      <c r="Q99" s="30" t="s">
        <v>5</v>
      </c>
      <c r="R99" s="30" t="s">
        <v>222</v>
      </c>
      <c r="S99" s="30" t="s">
        <v>247</v>
      </c>
      <c r="T99" s="30" t="s">
        <v>92</v>
      </c>
      <c r="U99" s="30" t="s">
        <v>84</v>
      </c>
      <c r="V99">
        <v>27200</v>
      </c>
      <c r="W99">
        <v>3112.65</v>
      </c>
      <c r="X99" s="30" t="s">
        <v>827</v>
      </c>
      <c r="Y99" s="30" t="s">
        <v>5</v>
      </c>
      <c r="Z99" s="30" t="s">
        <v>5</v>
      </c>
      <c r="AA99" s="30" t="s">
        <v>5</v>
      </c>
      <c r="AB99" s="30" t="s">
        <v>5</v>
      </c>
      <c r="AC99" s="30" t="s">
        <v>5</v>
      </c>
      <c r="AD99" s="30" t="s">
        <v>5</v>
      </c>
      <c r="AE99" s="30"/>
    </row>
    <row r="100" spans="12:31" x14ac:dyDescent="0.25">
      <c r="L100" s="30" t="str">
        <f>"CE"&amp;V100</f>
        <v>CE27300</v>
      </c>
      <c r="M100" s="30" t="str">
        <f>"PE"&amp;V100</f>
        <v>PE27300</v>
      </c>
      <c r="N100" s="30" t="s">
        <v>828</v>
      </c>
      <c r="O100" s="30" t="s">
        <v>829</v>
      </c>
      <c r="P100" s="30" t="s">
        <v>830</v>
      </c>
      <c r="Q100" s="30" t="s">
        <v>5</v>
      </c>
      <c r="R100" s="30" t="s">
        <v>85</v>
      </c>
      <c r="S100" s="30" t="s">
        <v>104</v>
      </c>
      <c r="T100" s="30" t="s">
        <v>80</v>
      </c>
      <c r="U100" s="30" t="s">
        <v>86</v>
      </c>
      <c r="V100">
        <v>27300</v>
      </c>
      <c r="W100">
        <v>3261.3</v>
      </c>
      <c r="X100" s="30" t="s">
        <v>831</v>
      </c>
      <c r="Y100" s="30" t="s">
        <v>249</v>
      </c>
      <c r="Z100" s="30" t="s">
        <v>250</v>
      </c>
      <c r="AA100" s="30" t="s">
        <v>5</v>
      </c>
      <c r="AB100" s="30" t="s">
        <v>69</v>
      </c>
      <c r="AC100" s="30" t="s">
        <v>75</v>
      </c>
      <c r="AD100" s="30" t="s">
        <v>75</v>
      </c>
      <c r="AE100" s="30"/>
    </row>
    <row r="101" spans="12:31" x14ac:dyDescent="0.25">
      <c r="L101" s="30" t="str">
        <f>"CE"&amp;V101</f>
        <v>CE27400</v>
      </c>
      <c r="M101" s="30" t="str">
        <f>"PE"&amp;V101</f>
        <v>PE27400</v>
      </c>
      <c r="N101" s="30" t="s">
        <v>160</v>
      </c>
      <c r="O101" s="30" t="s">
        <v>230</v>
      </c>
      <c r="P101" s="30" t="s">
        <v>251</v>
      </c>
      <c r="Q101" s="30" t="s">
        <v>5</v>
      </c>
      <c r="R101" s="30" t="s">
        <v>83</v>
      </c>
      <c r="S101" s="30" t="s">
        <v>106</v>
      </c>
      <c r="T101" s="30" t="s">
        <v>93</v>
      </c>
      <c r="U101" s="30" t="s">
        <v>86</v>
      </c>
      <c r="V101">
        <v>27400</v>
      </c>
      <c r="W101">
        <v>3320.1</v>
      </c>
      <c r="X101" s="30" t="s">
        <v>832</v>
      </c>
      <c r="Y101" s="30" t="s">
        <v>252</v>
      </c>
      <c r="Z101" s="30" t="s">
        <v>253</v>
      </c>
      <c r="AA101" s="30" t="s">
        <v>5</v>
      </c>
      <c r="AB101" s="30" t="s">
        <v>69</v>
      </c>
      <c r="AC101" s="30" t="s">
        <v>75</v>
      </c>
      <c r="AD101" s="30" t="s">
        <v>70</v>
      </c>
      <c r="AE101" s="30"/>
    </row>
    <row r="102" spans="12:31" x14ac:dyDescent="0.25">
      <c r="L102" s="30" t="str">
        <f>"CE"&amp;V102</f>
        <v>CE27500</v>
      </c>
      <c r="M102" s="30" t="str">
        <f>"PE"&amp;V102</f>
        <v>PE27500</v>
      </c>
      <c r="N102" s="30" t="s">
        <v>833</v>
      </c>
      <c r="O102" s="30" t="s">
        <v>834</v>
      </c>
      <c r="P102" s="30" t="s">
        <v>835</v>
      </c>
      <c r="Q102" s="30" t="s">
        <v>5</v>
      </c>
      <c r="R102" s="30" t="s">
        <v>93</v>
      </c>
      <c r="S102" s="30" t="s">
        <v>248</v>
      </c>
      <c r="T102" s="30" t="s">
        <v>93</v>
      </c>
      <c r="U102" s="30" t="s">
        <v>87</v>
      </c>
      <c r="V102">
        <v>27500</v>
      </c>
      <c r="W102">
        <v>3497.7</v>
      </c>
      <c r="X102" s="30" t="s">
        <v>836</v>
      </c>
      <c r="Y102" s="30" t="s">
        <v>5</v>
      </c>
      <c r="Z102" s="30" t="s">
        <v>5</v>
      </c>
      <c r="AA102" s="30" t="s">
        <v>5</v>
      </c>
      <c r="AB102" s="30" t="s">
        <v>5</v>
      </c>
      <c r="AC102" s="30" t="s">
        <v>5</v>
      </c>
      <c r="AD102" s="30" t="s">
        <v>70</v>
      </c>
      <c r="AE102" s="30"/>
    </row>
    <row r="103" spans="12:31" x14ac:dyDescent="0.25">
      <c r="L103" s="30" t="str">
        <f>"CE"&amp;V103</f>
        <v>CE</v>
      </c>
      <c r="M103" s="30" t="str">
        <f>"PE"&amp;V103</f>
        <v>PE</v>
      </c>
      <c r="N103" s="30" t="s">
        <v>837</v>
      </c>
      <c r="O103" s="30" t="s">
        <v>74</v>
      </c>
      <c r="P103" s="30" t="s">
        <v>838</v>
      </c>
      <c r="Q103" s="30"/>
      <c r="R103" s="30"/>
      <c r="S103" s="30"/>
      <c r="T103" s="30"/>
      <c r="U103" s="30"/>
      <c r="X103" s="30"/>
      <c r="Y103" s="30"/>
      <c r="Z103" s="30"/>
      <c r="AA103" s="30"/>
      <c r="AB103" s="30" t="s">
        <v>839</v>
      </c>
      <c r="AC103" s="30" t="s">
        <v>74</v>
      </c>
      <c r="AD103" s="30" t="s">
        <v>840</v>
      </c>
      <c r="AE103" s="30"/>
    </row>
  </sheetData>
  <phoneticPr fontId="28" type="noConversion"/>
  <pageMargins left="0.7" right="0.7" top="0.75" bottom="0.75" header="0.3" footer="0.3"/>
  <pageSetup paperSize="9"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99D8BAF-15D9-4E8F-8979-C582AE5456B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Options</vt:lpstr>
      <vt:lpstr>Help</vt:lpstr>
      <vt:lpstr>BNF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Ramalingam</dc:creator>
  <cp:lastModifiedBy>Senthil</cp:lastModifiedBy>
  <dcterms:created xsi:type="dcterms:W3CDTF">2014-08-13T02:13:08Z</dcterms:created>
  <dcterms:modified xsi:type="dcterms:W3CDTF">2020-10-15T05:24:00Z</dcterms:modified>
</cp:coreProperties>
</file>